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ummary" sheetId="1" r:id="rId1"/>
    <sheet name="Kernel Track" sheetId="2" r:id="rId2"/>
    <sheet name="Desktop UI Track" sheetId="3" r:id="rId3"/>
    <sheet name="Server Track" sheetId="4" r:id="rId4"/>
    <sheet name="Release Track" sheetId="5" r:id="rId5"/>
  </sheets>
</workbook>
</file>

<file path=xl/styles.xml><?xml version="1.0" encoding="utf-8"?>
<styleSheet xmlns="http://schemas.openxmlformats.org/spreadsheetml/2006/main">
  <fonts count="13">
    <font>
      <sz val="11.0"/>
      <color theme="1"/>
      <name val="Calibri"/>
      <scheme val="minor"/>
    </font>
    <font>
      <b/>
      <sz val="11.0"/>
      <color rgb="FFFFFFFF"/>
      <name val="Arial"/>
    </font>
    <font>
      <b/>
      <sz val="16.0"/>
      <color rgb="FF0F172A"/>
      <name val="Arial"/>
    </font>
    <font>
      <sz val="10.0"/>
      <color rgb="FF475569"/>
      <name val="Arial"/>
    </font>
    <font>
      <sz val="9.0"/>
      <color rgb="FF1E293B"/>
      <name val="Arial"/>
    </font>
    <font>
      <b/>
      <sz val="9.0"/>
      <color rgb="FF0F172A"/>
      <name val="Arial"/>
    </font>
    <font>
      <b/>
      <sz val="9.0"/>
      <color rgb="FF2563EB"/>
      <name val="Arial"/>
    </font>
    <font>
      <b/>
      <sz val="9.0"/>
      <color rgb="FFD97706"/>
      <name val="Arial"/>
    </font>
    <font>
      <b/>
      <sz val="9.0"/>
      <color rgb="FF16A34A"/>
      <name val="Arial"/>
    </font>
    <font>
      <b/>
      <sz val="12.0"/>
      <color rgb="FF1E3A8A"/>
      <name val="Arial"/>
    </font>
    <font>
      <b/>
      <sz val="10.0"/>
      <color rgb="FF334155"/>
      <name val="Arial"/>
    </font>
    <font>
      <b/>
      <sz val="14.0"/>
      <color rgb="FF1E3A8A"/>
      <name val="Arial"/>
    </font>
    <font>
      <i/>
      <sz val="9.0"/>
      <color rgb="FF64748B"/>
      <name val="Arial"/>
    </font>
  </fonts>
  <fills count="11">
    <fill>
      <patternFill patternType="none"/>
    </fill>
    <fill>
      <patternFill patternType="gray125"/>
    </fill>
    <fill>
      <patternFill patternType="solid">
        <fgColor rgb="FF1E3A8A"/>
        <bgColor rgb="FF1E3A8A"/>
      </patternFill>
    </fill>
    <fill>
      <patternFill patternType="solid">
        <fgColor rgb="FF334155"/>
        <bgColor rgb="FF334155"/>
      </patternFill>
    </fill>
    <fill>
      <patternFill patternType="solid">
        <fgColor rgb="FFF1F5F9"/>
        <bgColor rgb="FFF1F5F9"/>
      </patternFill>
    </fill>
    <fill>
      <patternFill patternType="solid">
        <fgColor rgb="FFEFF6FF"/>
        <bgColor rgb="FFEFF6FF"/>
      </patternFill>
    </fill>
    <fill>
      <patternFill patternType="solid">
        <fgColor rgb="FFFFFBEB"/>
        <bgColor rgb="FFFFFBEB"/>
      </patternFill>
    </fill>
    <fill>
      <patternFill patternType="solid">
        <fgColor rgb="FFF0FDF4"/>
        <bgColor rgb="FFF0FDF4"/>
      </patternFill>
    </fill>
    <fill>
      <patternFill patternType="solid">
        <fgColor rgb="FFF8FAFC"/>
        <bgColor rgb="FFF8FAFC"/>
      </patternFill>
    </fill>
    <fill>
      <patternFill patternType="solid">
        <fgColor rgb="FFE2E8F0"/>
        <bgColor rgb="FFE2E8F0"/>
      </patternFill>
    </fill>
    <fill>
      <patternFill patternType="solid">
        <fgColor rgb="FF4338CA"/>
        <bgColor rgb="FF4338CA"/>
      </patternFill>
    </fill>
  </fills>
  <borders count="3">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ttom style="medium">
        <color rgb="FF1E293B"/>
      </bottom>
    </border>
  </borders>
  <cellStyleXfs count="1">
    <xf borderId="0" fillId="0" fontId="0" numFmtId="0"/>
  </cellStyleXfs>
  <cellXfs count="21">
    <xf borderId="0" fillId="0" fontId="0" numFmtId="0" xfId="0"/>
    <xf borderId="0" fillId="0" fontId="2" numFmtId="0" xfId="0">
      <alignment vertical="center"/>
    </xf>
    <xf borderId="0" fillId="0" fontId="3" numFmtId="0" xfId="0">
      <alignment vertical="center"/>
    </xf>
    <xf borderId="1" fillId="2" fontId="1" numFmtId="0" xfId="0">
      <alignment horizontal="left" vertical="center"/>
    </xf>
    <xf borderId="1" fillId="2" fontId="1" numFmtId="0" xfId="0">
      <alignment horizontal="center" vertical="center"/>
    </xf>
    <xf borderId="1" fillId="4" fontId="9" numFmtId="0" xfId="0">
      <alignment horizontal="left" vertical="center"/>
    </xf>
    <xf borderId="1" fillId="0" fontId="4" numFmtId="0" xfId="0">
      <alignment horizontal="left" vertical="top" wrapText="1"/>
    </xf>
    <xf borderId="1" fillId="0" fontId="5" numFmtId="0" xfId="0">
      <alignment horizontal="left" vertical="top" wrapText="1"/>
    </xf>
    <xf borderId="1" fillId="0" fontId="4" numFmtId="0" xfId="0">
      <alignment horizontal="center" vertical="top"/>
    </xf>
    <xf borderId="1" fillId="5" fontId="6" numFmtId="0" xfId="0">
      <alignment horizontal="center" vertical="top"/>
    </xf>
    <xf borderId="1" fillId="6" fontId="7" numFmtId="0" xfId="0">
      <alignment horizontal="center" vertical="top"/>
    </xf>
    <xf borderId="1" fillId="7" fontId="8" numFmtId="0" xfId="0">
      <alignment horizontal="center" vertical="top"/>
    </xf>
    <xf borderId="1" fillId="4" fontId="10" numFmtId="0" xfId="0">
      <alignment horizontal="center" vertical="center"/>
    </xf>
    <xf borderId="1" fillId="8" fontId="11" numFmtId="0" xfId="0">
      <alignment horizontal="center" vertical="center"/>
    </xf>
    <xf borderId="1" fillId="8" fontId="11" numFmtId="10" xfId="0">
      <alignment horizontal="center" vertical="center"/>
    </xf>
    <xf borderId="1" fillId="3" fontId="1" numFmtId="0" xfId="0">
      <alignment horizontal="center" vertical="center"/>
    </xf>
    <xf borderId="1" fillId="3" fontId="1" numFmtId="0" xfId="0">
      <alignment horizontal="left" vertical="center"/>
    </xf>
    <xf borderId="1" fillId="8" fontId="4" numFmtId="0" xfId="0">
      <alignment horizontal="left" vertical="top" wrapText="1"/>
    </xf>
    <xf borderId="1" fillId="8" fontId="5" numFmtId="0" xfId="0">
      <alignment horizontal="left" vertical="top" wrapText="1"/>
    </xf>
    <xf borderId="1" fillId="8" fontId="4" numFmtId="0" xfId="0">
      <alignment horizontal="center" vertical="top"/>
    </xf>
    <xf borderId="1" fillId="9" fontId="10" numFmtId="0" xfId="0">
      <alignment horizontal="left"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s>
</file>

<file path=xl/worksheets/sheet1.xml><?xml version="1.0" encoding="utf-8"?>
<worksheet xmlns="http://schemas.openxmlformats.org/spreadsheetml/2006/main">
  <sheetPr>
    <pageSetUpPr fitToPage="1"/>
  </sheetPr>
  <sheetViews>
    <sheetView workbookViewId="0">
      <pane ySplit="4" topLeftCell="A5" activePane="bottomLeft" state="frozen"/>
    </sheetView>
  </sheetViews>
  <sheetFormatPr defaultRowHeight="16.0" defaultColWidth="15.0"/>
  <cols>
    <col customWidth="1" min="1" max="1" width="36"/>
    <col customWidth="1" min="2" max="2" width="26"/>
    <col customWidth="1" min="3" max="3" width="26"/>
    <col customWidth="1" min="4" max="4" width="28"/>
    <col customWidth="1" min="5" max="5" width="28"/>
    <col customWidth="1" min="6" max="6" width="32"/>
    <col customWidth="1" min="7" max="7" width="48"/>
  </cols>
  <sheetData>
    <row r="1">
      <c r="A1" s="1" t="inlineStr">
        <is>
          <t>NovaOS 2.0 - 6-Month Enterprise Build Plan (Pure Rust)</t>
        </is>
      </c>
    </row>
    <row r="2">
      <c r="A2" s="2" t="inlineStr">
        <is>
          <t>Desktop: Combining Windows 11 Fluent/Snap + macOS Menu Bar/Spotlight + Ubuntu Wayland/Terminal | Server: Ubuntu Server 24.04 Parity (cgroups, SSH, WireGuard). 100% Rust architecture.</t>
        </is>
      </c>
    </row>
    <row r="4">
      <c r="A4" s="3" t="inlineStr">
        <is>
          <t>Track Name</t>
        </is>
      </c>
      <c r="B4" s="4" t="inlineStr">
        <is>
          <t>Done</t>
        </is>
      </c>
      <c r="C4" s="4" t="inlineStr">
        <is>
          <t>Planned</t>
        </is>
      </c>
      <c r="D4" s="4" t="inlineStr">
        <is>
          <t>Total Tasks</t>
        </is>
      </c>
      <c r="E4" s="4" t="inlineStr">
        <is>
          <t>% Complete</t>
        </is>
      </c>
    </row>
    <row r="5">
      <c r="A5" s="7" t="inlineStr">
        <is>
          <t>Kernel &amp; Architecture Track (x86_64 Long Mode, NVMe, VFS, Async I/O)</t>
        </is>
      </c>
      <c r="B5" s="8">
        <f>COUNTIF('Kernel Track'!F2:F17,"Done")</f>
        <v>0</v>
      </c>
      <c r="C5" s="8">
        <f>COUNTIF('Kernel Track'!F2:F17,"Planned")+COUNTIF('Kernel Track'!F2:F17,"In Progress")</f>
        <v>16</v>
      </c>
      <c r="D5" s="8">
        <f>COUNTA('Kernel Track'!B2:B17)</f>
        <v>16</v>
      </c>
      <c r="E5" s="14">
        <f>IFERROR(B5/D5,0)</f>
        <v>0.0</v>
      </c>
    </row>
    <row r="6">
      <c r="A6" s="7" t="inlineStr">
        <is>
          <t>Desktop &amp; UI Track (Wayland Compositor, Fluent/macOS Shell, Core Apps)</t>
        </is>
      </c>
      <c r="B6" s="8">
        <f>COUNTIF('Desktop UI Track'!F2:F17,"Done")</f>
        <v>0</v>
      </c>
      <c r="C6" s="8">
        <f>COUNTIF('Desktop UI Track'!F2:F17,"Planned")+COUNTIF('Desktop UI Track'!F2:F17,"In Progress")</f>
        <v>16</v>
      </c>
      <c r="D6" s="8">
        <f>COUNTA('Desktop UI Track'!B2:B17)</f>
        <v>16</v>
      </c>
      <c r="E6" s="14">
        <f>IFERROR(B6/D6,0)</f>
        <v>0.0</v>
      </c>
    </row>
    <row r="7">
      <c r="A7" s="7" t="inlineStr">
        <is>
          <t>Server Track (Headless Kernel, cgroups v2, Containers, SSH-2, novad)</t>
        </is>
      </c>
      <c r="B7" s="8">
        <f>COUNTIF('Server Track'!F2:F13,"Done")</f>
        <v>0</v>
      </c>
      <c r="C7" s="8">
        <f>COUNTIF('Server Track'!F2:F13,"Planned")+COUNTIF('Server Track'!F2:F13,"In Progress")</f>
        <v>12</v>
      </c>
      <c r="D7" s="8">
        <f>COUNTA('Server Track'!B2:B13)</f>
        <v>12</v>
      </c>
      <c r="E7" s="14">
        <f>IFERROR(B7/D7,0)</f>
        <v>0.0</v>
      </c>
    </row>
    <row r="8">
      <c r="A8" s="7" t="inlineStr">
        <is>
          <t>Release &amp; Enterprise Track (Dual ISOs, CI Matrix, Security Audit, SDK)</t>
        </is>
      </c>
      <c r="B8" s="8">
        <f>COUNTIF('Release Track'!F2:F11,"Done")</f>
        <v>0</v>
      </c>
      <c r="C8" s="8">
        <f>COUNTIF('Release Track'!F2:F11,"Planned")+COUNTIF('Release Track'!F2:F11,"In Progress")</f>
        <v>10</v>
      </c>
      <c r="D8" s="8">
        <f>COUNTA('Release Track'!B2:B11)</f>
        <v>10</v>
      </c>
      <c r="E8" s="14">
        <f>IFERROR(B8/D8,0)</f>
        <v>0.0</v>
      </c>
    </row>
    <row r="9">
      <c r="A9" s="5" t="inlineStr">
        <is>
          <t>Overall NovaOS 2.0 Project Status</t>
        </is>
      </c>
      <c r="B9" s="13">
        <f>B5+B6+B7+B8</f>
        <v>0</v>
      </c>
      <c r="C9" s="13">
        <f>C5+C6+C7+C8</f>
        <v>54</v>
      </c>
      <c r="D9" s="13">
        <f>D5+D6+D7+D8</f>
        <v>54</v>
      </c>
      <c r="E9" s="14">
        <f>IFERROR(B9/D9,0)</f>
        <v>0.0</v>
      </c>
    </row>
    <row r="11">
      <c r="A11" s="5" t="inlineStr">
        <is>
          <t>6-Month Development Milestones &amp; Sprint Progress</t>
        </is>
      </c>
      <c r="B11" s="5" t="inlineStr">
        <is>
          <t/>
        </is>
      </c>
      <c r="C11" s="5" t="inlineStr">
        <is>
          <t/>
        </is>
      </c>
      <c r="D11" s="5" t="inlineStr">
        <is>
          <t/>
        </is>
      </c>
      <c r="E11" s="5" t="inlineStr">
        <is>
          <t/>
        </is>
      </c>
    </row>
    <row r="12">
      <c r="A12" s="16" t="inlineStr">
        <is>
          <t>Month &amp; Strategic Milestone Focus</t>
        </is>
      </c>
      <c r="B12" s="15" t="inlineStr">
        <is>
          <t>Done</t>
        </is>
      </c>
      <c r="C12" s="15" t="inlineStr">
        <is>
          <t>Planned</t>
        </is>
      </c>
      <c r="D12" s="15" t="inlineStr">
        <is>
          <t>Total Tasks</t>
        </is>
      </c>
      <c r="E12" s="15" t="inlineStr">
        <is>
          <t>% Complete</t>
        </is>
      </c>
    </row>
    <row r="13">
      <c r="A13" s="6" t="inlineStr">
        <is>
          <t>Month 1 - 64-Bit Transformation &amp; Modern Hardware Foundation (Long Mode, UEFI, NVMe, xHCI)</t>
        </is>
      </c>
      <c r="B13" s="8">
        <f>COUNTIFS('Kernel Track'!A2:A17,"*Month 1*",'Kernel Track'!F2:F17,"Done")</f>
        <v>0</v>
      </c>
      <c r="C13" s="8">
        <f>D13-B13</f>
        <v>0</v>
      </c>
      <c r="D13" s="8">
        <f>COUNTIF('Kernel Track'!A2:A17,"*Month 1*")</f>
        <v>0</v>
      </c>
      <c r="E13" s="14">
        <f>IFERROR(B13/D13,0)</f>
        <v>0.0</v>
      </c>
    </row>
    <row r="14">
      <c r="A14" s="6" t="inlineStr">
        <is>
          <t>Month 2 - Storage Engine, Concurrent VFS, NovaFS &amp; Async I/O Ring</t>
        </is>
      </c>
      <c r="B14" s="8">
        <f>COUNTIFS('Kernel Track'!A2:A17,"*Month 2*",'Kernel Track'!F2:F17,"Done")</f>
        <v>0</v>
      </c>
      <c r="C14" s="8">
        <f>D14-B14</f>
        <v>0</v>
      </c>
      <c r="D14" s="8">
        <f>COUNTIF('Kernel Track'!A2:A17,"*Month 2*")</f>
        <v>0</v>
      </c>
      <c r="E14" s="14">
        <f>IFERROR(B14/D14,0)</f>
        <v>0.0</v>
      </c>
    </row>
    <row r="15">
      <c r="A15" s="6" t="inlineStr">
        <is>
          <t>Month 3 - Enterprise Server Core, Container Engine (cgroups/namespaces) &amp; Native SSH-2</t>
        </is>
      </c>
      <c r="B15" s="8">
        <f>COUNTIFS('Server Track'!A2:A13,"*Month 3*",'Server Track'!F2:F13,"Done")</f>
        <v>0</v>
      </c>
      <c r="C15" s="8">
        <f>D15-B15</f>
        <v>0</v>
      </c>
      <c r="D15" s="8">
        <f>COUNTIF('Server Track'!A2:A13,"*Month 3*")</f>
        <v>0</v>
      </c>
      <c r="E15" s="14">
        <f>IFERROR(B15/D15,0)</f>
        <v>0.0</v>
      </c>
    </row>
    <row r="16">
      <c r="A16" s="6" t="inlineStr">
        <is>
          <t>Month 4 - DRM/KMS Hardware Graphics, VirtIO-GPU 3D &amp; Wayland Compositor Engine</t>
        </is>
      </c>
      <c r="B16" s="8">
        <f>COUNTIFS('Kernel Track'!A2:A17,"*Month 4*",'Kernel Track'!F2:F17,"Done")+COUNTIFS('Desktop UI Track'!A2:A17,"*Month 4*",'Desktop UI Track'!F2:F17,"Done")</f>
        <v>0</v>
      </c>
      <c r="C16" s="8">
        <f>D16-B16</f>
        <v>0</v>
      </c>
      <c r="D16" s="8">
        <f>COUNTIF('Kernel Track'!A2:A17,"*Month 4*")+COUNTIF('Desktop UI Track'!A2:A17,"*Month 4*")</f>
        <v>0</v>
      </c>
      <c r="E16" s="14">
        <f>IFERROR(B16/D16,0)</f>
        <v>0.0</v>
      </c>
    </row>
    <row r="17">
      <c r="A17" s="6" t="inlineStr">
        <is>
          <t>Month 5 - Synthesized Desktop Shell (Menu Bar + Centered Dock + Snap) &amp; Core App Suite</t>
        </is>
      </c>
      <c r="B17" s="8">
        <f>COUNTIFS('Desktop UI Track'!A2:A17,"*Month 5*",'Desktop UI Track'!F2:F17,"Done")+COUNTIFS('Kernel Track'!A2:A17,"*Month 5*",'Kernel Track'!F2:F17,"Done")+COUNTIFS('Server Track'!A2:A13,"*Month 5*",'Server Track'!F2:F13,"Done")</f>
        <v>0</v>
      </c>
      <c r="C17" s="8">
        <f>D17-B17</f>
        <v>0</v>
      </c>
      <c r="D17" s="8">
        <f>COUNTIF('Desktop UI Track'!A2:A17,"*Month 5*")+COUNTIF('Kernel Track'!A2:A17,"*Month 5*")+COUNTIF('Server Track'!A2:A13,"*Month 5*")</f>
        <v>0</v>
      </c>
      <c r="E17" s="14">
        <f>IFERROR(B17/D17,0)</f>
        <v>0.0</v>
      </c>
    </row>
    <row r="18">
      <c r="A18" s="6" t="inlineStr">
        <is>
          <t>Month 6 - Production Hardening, Dual ISOs (Desktop &amp; Server), CI Matrix &amp; GA Launch</t>
        </is>
      </c>
      <c r="B18" s="8">
        <f>COUNTIFS('Release Track'!A2:A11,"*Month 6*",'Release Track'!F2:F11,"Done")</f>
        <v>0</v>
      </c>
      <c r="C18" s="8">
        <f>D18-B18</f>
        <v>0</v>
      </c>
      <c r="D18" s="8">
        <f>COUNTIF('Release Track'!A2:A11,"*Month 6*")</f>
        <v>0</v>
      </c>
      <c r="E18" s="14">
        <f>IFERROR(B18/D18,0)</f>
        <v>0.0</v>
      </c>
    </row>
    <row r="20">
      <c r="A20" s="5" t="inlineStr">
        <is>
          <t>Language &amp; Architecture Distribution (100% Pure Rust for all new systems)</t>
        </is>
      </c>
      <c r="B20" s="5" t="inlineStr">
        <is>
          <t/>
        </is>
      </c>
      <c r="C20" s="5" t="inlineStr">
        <is>
          <t/>
        </is>
      </c>
      <c r="D20" s="5" t="inlineStr">
        <is>
          <t/>
        </is>
      </c>
      <c r="E20" s="5" t="inlineStr">
        <is>
          <t/>
        </is>
      </c>
    </row>
    <row r="21">
      <c r="A21" s="16" t="inlineStr">
        <is>
          <t>Target Subsystem Domain</t>
        </is>
      </c>
      <c r="B21" s="15" t="inlineStr">
        <is>
          <t>Language</t>
        </is>
      </c>
      <c r="C21" s="15" t="inlineStr">
        <is>
          <t>Runtime Mode</t>
        </is>
      </c>
      <c r="D21" s="15" t="inlineStr">
        <is>
          <t>Tasks Count</t>
        </is>
      </c>
      <c r="E21" s="15" t="inlineStr">
        <is>
          <t>Architectural Isolation</t>
        </is>
      </c>
    </row>
    <row r="22">
      <c r="A22" s="6" t="inlineStr">
        <is>
          <t>Kernel Core, Paging, Drivers, Filesystem, Scheduler, Network Stack</t>
        </is>
      </c>
      <c r="B22" s="8" t="inlineStr">
        <is>
          <t>Rust</t>
        </is>
      </c>
      <c r="C22" s="8" t="inlineStr">
        <is>
          <t>#![no_std] (Ring 0)</t>
        </is>
      </c>
      <c r="D22" s="8">
        <f>COUNTA('Kernel Track'!B2:B17)</f>
        <v>16</v>
      </c>
      <c r="E22" s="6" t="inlineStr">
        <is>
          <t>Strict Memory Safety, Zero-Cost Abstractions, No Garbage Collection</t>
        </is>
      </c>
    </row>
    <row r="23">
      <c r="A23" s="6" t="inlineStr">
        <is>
          <t>Desktop Display Server, Compositor, Shell, GUI Toolkit, Native Apps</t>
        </is>
      </c>
      <c r="B23" s="8" t="inlineStr">
        <is>
          <t>Rust</t>
        </is>
      </c>
      <c r="C23" s="8" t="inlineStr">
        <is>
          <t>Ring 3 (nova-std / nova-ui)</t>
        </is>
      </c>
      <c r="D23" s="8">
        <f>COUNTA('Desktop UI Track'!B2:B17)</f>
        <v>16</v>
      </c>
      <c r="E23" s="6" t="inlineStr">
        <is>
          <t>Wayland-Style Client Buffers, Zero-Copy DMA-BUF, Hardware 60 FPS</t>
        </is>
      </c>
    </row>
    <row r="24">
      <c r="A24" s="6" t="inlineStr">
        <is>
          <t>Server Daemons, Container Runtime (novactl), SSH-2 Server, novad</t>
        </is>
      </c>
      <c r="B24" s="8" t="inlineStr">
        <is>
          <t>Rust</t>
        </is>
      </c>
      <c r="C24" s="8" t="inlineStr">
        <is>
          <t>Ring 3 (nova-std / async)</t>
        </is>
      </c>
      <c r="D24" s="8">
        <f>COUNTA('Server Track'!B2:B13)</f>
        <v>12</v>
      </c>
      <c r="E24" s="6" t="inlineStr">
        <is>
          <t>Non-blocking Async I/O (nova_uring), cgroups v2, Multi-core Scale</t>
        </is>
      </c>
    </row>
    <row r="25">
      <c r="A25" s="6" t="inlineStr">
        <is>
          <t>Enterprise Packaging, Test Matrix, CI Pipeline, SDK Tooling</t>
        </is>
      </c>
      <c r="B25" s="8" t="inlineStr">
        <is>
          <t>Rust, Python, Shell</t>
        </is>
      </c>
      <c r="C25" s="8" t="inlineStr">
        <is>
          <t>Host &amp; Target CI</t>
        </is>
      </c>
      <c r="D25" s="8">
        <f>COUNTA('Release Track'!B2:B11)</f>
        <v>10</v>
      </c>
      <c r="E25" s="6" t="inlineStr">
        <is>
          <t>Automated QEMU Matrix, Cryptographic Sign-Off, Dual Bootable ISOs</t>
        </is>
      </c>
    </row>
    <row r="27">
      <c r="A27" s="5" t="inlineStr">
        <is>
          <t>Enterprise OS Feature Parity &amp; Gap Comparison Matrix</t>
        </is>
      </c>
      <c r="B27" s="5" t="inlineStr">
        <is>
          <t/>
        </is>
      </c>
      <c r="C27" s="5" t="inlineStr">
        <is>
          <t/>
        </is>
      </c>
      <c r="D27" s="5" t="inlineStr">
        <is>
          <t/>
        </is>
      </c>
      <c r="E27" s="5" t="inlineStr">
        <is>
          <t/>
        </is>
      </c>
      <c r="F27" s="5" t="inlineStr">
        <is>
          <t/>
        </is>
      </c>
      <c r="G27" s="5" t="inlineStr">
        <is>
          <t/>
        </is>
      </c>
    </row>
    <row r="28">
      <c r="A28" s="3" t="inlineStr">
        <is>
          <t>Feature / Architectural Dimension</t>
        </is>
      </c>
      <c r="B28" s="4" t="inlineStr">
        <is>
          <t>Windows 11 (23H2/24H2)</t>
        </is>
      </c>
      <c r="C28" s="4" t="inlineStr">
        <is>
          <t>macOS (Sonoma/Sequoia)</t>
        </is>
      </c>
      <c r="D28" s="4" t="inlineStr">
        <is>
          <t>Ubuntu Desktop 24.04 LTS</t>
        </is>
      </c>
      <c r="E28" s="4" t="inlineStr">
        <is>
          <t>Ubuntu Server 24.04 LTS</t>
        </is>
      </c>
      <c r="F28" s="4" t="inlineStr">
        <is>
          <t>NovaOS v1.0 (Current Status)</t>
        </is>
      </c>
      <c r="G28" s="4" t="inlineStr">
        <is>
          <t>NovaOS 2.0 (Target 6-Month Plan)</t>
        </is>
      </c>
    </row>
    <row r="29">
      <c r="A29" s="7" t="inlineStr">
        <is>
          <t>CPU Execution Architecture</t>
        </is>
      </c>
      <c r="B29" s="6" t="inlineStr">
        <is>
          <t>x86_64, ARM64 (Dropped 32-bit)</t>
        </is>
      </c>
      <c r="C29" s="6" t="inlineStr">
        <is>
          <t>ARM64 Apple Silicon (Dropped x86)</t>
        </is>
      </c>
      <c r="D29" s="6" t="inlineStr">
        <is>
          <t>x86_64, AArch64 (Dropped 32-bit)</t>
        </is>
      </c>
      <c r="E29" s="6" t="inlineStr">
        <is>
          <t>x86_64, AArch64 (Dropped 32-bit)</t>
        </is>
      </c>
      <c r="F29" s="6" t="inlineStr">
        <is>
          <t>32-bit x86 (i686 Protected Mode)</t>
        </is>
      </c>
      <c r="G29" s="18" t="inlineStr">
        <is>
          <t>Pure 64-bit x86_64 Long Mode (4-Level Paging) in Rust</t>
        </is>
      </c>
    </row>
    <row r="30">
      <c r="A30" s="7" t="inlineStr">
        <is>
          <t>Firmware &amp; Boot Standard</t>
        </is>
      </c>
      <c r="B30" s="6" t="inlineStr">
        <is>
          <t>UEFI 2.8+ / Secure Boot / GPT</t>
        </is>
      </c>
      <c r="C30" s="6" t="inlineStr">
        <is>
          <t>Apple Silicon BootROM / APFS / GPT</t>
        </is>
      </c>
      <c r="D30" s="6" t="inlineStr">
        <is>
          <t>UEFI / GRUB2 / GPT / Secure Boot</t>
        </is>
      </c>
      <c r="E30" s="6" t="inlineStr">
        <is>
          <t>UEFI / Cloud-Init / GPT</t>
        </is>
      </c>
      <c r="F30" s="6" t="inlineStr">
        <is>
          <t>Legacy BIOS / MBR / Multiboot 1</t>
        </is>
      </c>
      <c r="G30" s="18" t="inlineStr">
        <is>
          <t>Native Pure Rust UEFI 2.9 Bootloader with GPT &amp; Secure Boot</t>
        </is>
      </c>
    </row>
    <row r="31">
      <c r="A31" s="7" t="inlineStr">
        <is>
          <t>Preemptive SMP Scheduling</t>
        </is>
      </c>
      <c r="B31" s="6" t="inlineStr">
        <is>
          <t>NT Priority Quantum with Dynamic Boost</t>
        </is>
      </c>
      <c r="C31" s="6" t="inlineStr">
        <is>
          <t>Mach Thread Scheduler with QoS Classes</t>
        </is>
      </c>
      <c r="D31" s="6" t="inlineStr">
        <is>
          <t>Completely Fair Scheduler (CFS/EEVDF)</t>
        </is>
      </c>
      <c r="E31" s="6" t="inlineStr">
        <is>
          <t>CFS with NUMA &amp; Huge Pages Tuning</t>
        </is>
      </c>
      <c r="F31" s="6" t="inlineStr">
        <is>
          <t>Basic Local APIC 2-4 Cores (Coarse locks)</t>
        </is>
      </c>
      <c r="G31" s="18" t="inlineStr">
        <is>
          <t>Tickless Preemptive Rust SMP Scheduler with Priority Classes</t>
        </is>
      </c>
    </row>
    <row r="32">
      <c r="A32" s="7" t="inlineStr">
        <is>
          <t>High-Speed Storage Drivers</t>
        </is>
      </c>
      <c r="B32" s="6" t="inlineStr">
        <is>
          <t>NVMe 2.0 StorNVMe / AHCI</t>
        </is>
      </c>
      <c r="C32" s="6" t="inlineStr">
        <is>
          <t>Apple Fabric NVMe / PCIe</t>
        </is>
      </c>
      <c r="D32" s="6" t="inlineStr">
        <is>
          <t>NVMe 2.0 / blk-mq / AHCI</t>
        </is>
      </c>
      <c r="E32" s="6" t="inlineStr">
        <is>
          <t>NVMe 2.0 / Multipath / RAID</t>
        </is>
      </c>
      <c r="F32" s="6" t="inlineStr">
        <is>
          <t>Legacy IDE/ATA PIO &amp; Basic VirtIO-blk</t>
        </is>
      </c>
      <c r="G32" s="18" t="inlineStr">
        <is>
          <t>Pure Rust NVMe 2.0 PCIe Driver (ASQ/ACQ, MSI-X) &amp; AHCI</t>
        </is>
      </c>
    </row>
    <row r="33">
      <c r="A33" s="7" t="inlineStr">
        <is>
          <t>USB &amp; Modern Input</t>
        </is>
      </c>
      <c r="B33" s="6" t="inlineStr">
        <is>
          <t>xHCI (USB 3.2/4.0) &amp; USB HID</t>
        </is>
      </c>
      <c r="C33" s="6" t="inlineStr">
        <is>
          <t>xHCI / Thunderbolt 4 &amp; USB HID</t>
        </is>
      </c>
      <c r="D33" s="6" t="inlineStr">
        <is>
          <t>xHCI / USB HID / evdev</t>
        </is>
      </c>
      <c r="E33" s="6" t="inlineStr">
        <is>
          <t>xHCI USB Mass Storage</t>
        </is>
      </c>
      <c r="F33" s="6" t="inlineStr">
        <is>
          <t>Legacy UHCI (USB 1.1) &amp; PS/2 keyboard/mouse</t>
        </is>
      </c>
      <c r="G33" s="18" t="inlineStr">
        <is>
          <t>Pure Rust xHCI USB 3.2 Stack with Hot-Plug &amp; USB HID</t>
        </is>
      </c>
    </row>
    <row r="34">
      <c r="A34" s="7" t="inlineStr">
        <is>
          <t>Virtual Memory &amp; Paging</t>
        </is>
      </c>
      <c r="B34" s="6" t="inlineStr">
        <is>
          <t>Demand Paging, Working Set, Pagefile</t>
        </is>
      </c>
      <c r="C34" s="6" t="inlineStr">
        <is>
          <t>Demand Paging, Compressed RAM (zram)</t>
        </is>
      </c>
      <c r="D34" s="6" t="inlineStr">
        <is>
          <t>Demand Paging, CoW, swap/zram, Page Cache</t>
        </is>
      </c>
      <c r="E34" s="6" t="inlineStr">
        <is>
          <t>HugeTLB, Page Cache, NUMA Allocator</t>
        </is>
      </c>
      <c r="F34" s="6" t="inlineStr">
        <is>
          <t>Eager Paging, Basic CoW, No Demand Paging</t>
        </is>
      </c>
      <c r="G34" s="18" t="inlineStr">
        <is>
          <t>True Demand Paging (#PF), Page Cache, LZ4 In-RAM Compressed Swap</t>
        </is>
      </c>
    </row>
    <row r="35">
      <c r="A35" s="7" t="inlineStr">
        <is>
          <t>Asynchronous I/O Engine</t>
        </is>
      </c>
      <c r="B35" s="6" t="inlineStr">
        <is>
          <t>I/O Completion Ports (IOCP)</t>
        </is>
      </c>
      <c r="C35" s="6" t="inlineStr">
        <is>
          <t>kqueue / dispatch_io</t>
        </is>
      </c>
      <c r="D35" s="6" t="inlineStr">
        <is>
          <t>io_uring / epoll</t>
        </is>
      </c>
      <c r="E35" s="6" t="inlineStr">
        <is>
          <t>io_uring (High-throughput zero-copy)</t>
        </is>
      </c>
      <c r="F35" s="6" t="inlineStr">
        <is>
          <t>Synchronous blocking read/write syscalls</t>
        </is>
      </c>
      <c r="G35" s="18" t="inlineStr">
        <is>
          <t>Asynchronous Ring-Buffer I/O Engine (nova_uring / epoll in Rust)</t>
        </is>
      </c>
    </row>
    <row r="36">
      <c r="A36" s="7" t="inlineStr">
        <is>
          <t>Enterprise Filesystem</t>
        </is>
      </c>
      <c r="B36" s="6" t="inlineStr">
        <is>
          <t>NTFS / ReFS (Journaling, BitLocker)</t>
        </is>
      </c>
      <c r="C36" s="6" t="inlineStr">
        <is>
          <t>APFS (CoW, Snapshots, Encryption)</t>
        </is>
      </c>
      <c r="D36" s="6" t="inlineStr">
        <is>
          <t>Ext4 / Btrfs (Snapshots, Subvolumes)</t>
        </is>
      </c>
      <c r="E36" s="6" t="inlineStr">
        <is>
          <t>ZFS / Ext4 (RAID-Z, Checksums)</t>
        </is>
      </c>
      <c r="F36" s="6" t="inlineStr">
        <is>
          <t>FAT32 with journal, basic ext2</t>
        </is>
      </c>
      <c r="G36" s="18" t="inlineStr">
        <is>
          <t>NovaFS (Pure Rust CoW Filesystem with B-Trees &amp; Instant Snapshots)</t>
        </is>
      </c>
    </row>
    <row r="37">
      <c r="A37" s="7" t="inlineStr">
        <is>
          <t>Container Isolation</t>
        </is>
      </c>
      <c r="B37" s="6" t="inlineStr">
        <is>
          <t>Windows Containers / Hyper-V Silos</t>
        </is>
      </c>
      <c r="C37" s="6" t="inlineStr">
        <is>
          <t>Sandbox / Containerization Framework</t>
        </is>
      </c>
      <c r="D37" s="6" t="inlineStr">
        <is>
          <t>Namespaces (PID, Net, Mnt), cgroups v2</t>
        </is>
      </c>
      <c r="E37" s="6" t="inlineStr">
        <is>
          <t>cgroups v2, Namespaces, Docker/OCI Engine</t>
        </is>
      </c>
      <c r="F37" s="6" t="inlineStr">
        <is>
          <t>None (Single monolithic process tree)</t>
        </is>
      </c>
      <c r="G37" s="18" t="inlineStr">
        <is>
          <t>Full Kernel Namespaces &amp; cgroups v2 with Pure Rust novactl Runtime</t>
        </is>
      </c>
    </row>
    <row r="38">
      <c r="A38" s="7" t="inlineStr">
        <is>
          <t>Enterprise VPN &amp; Security</t>
        </is>
      </c>
      <c r="B38" s="6" t="inlineStr">
        <is>
          <t>IPsec / DirectAccess / Windows Firewall</t>
        </is>
      </c>
      <c r="C38" s="6" t="inlineStr">
        <is>
          <t>IPsec / WireGuard / pf firewall</t>
        </is>
      </c>
      <c r="D38" s="6" t="inlineStr">
        <is>
          <t>nftables / WireGuard / AppArmor</t>
        </is>
      </c>
      <c r="E38" s="6" t="inlineStr">
        <is>
          <t>nftables / WireGuard / OpenSSH / SELinux</t>
        </is>
      </c>
      <c r="F38" s="6" t="inlineStr">
        <is>
          <t>Basic port drop firewall (no conntrack)</t>
        </is>
      </c>
      <c r="G38" s="18" t="inlineStr">
        <is>
          <t>In-Kernel WireGuard VPN Engine, Stateful Conntrack &amp; novasshd</t>
        </is>
      </c>
    </row>
    <row r="39">
      <c r="A39" s="7" t="inlineStr">
        <is>
          <t>Display Server &amp; Compositor</t>
        </is>
      </c>
      <c r="B39" s="6" t="inlineStr">
        <is>
          <t>Desktop Window Manager (DWM)</t>
        </is>
      </c>
      <c r="C39" s="6" t="inlineStr">
        <is>
          <t>Quartz Compositor / CoreAnimation</t>
        </is>
      </c>
      <c r="D39" s="6" t="inlineStr">
        <is>
          <t>Wayland (Mutter / Sway / Weston)</t>
        </is>
      </c>
      <c r="E39" s="6" t="inlineStr">
        <is>
          <t>Headless (No X11/Wayland)</t>
        </is>
      </c>
      <c r="F39" s="6" t="inlineStr">
        <is>
          <t>Software VGA Framebuffer &amp; simple WM</t>
        </is>
      </c>
      <c r="G39" s="18" t="inlineStr">
        <is>
          <t>Wayland-Style Hardware Accelerated Compositor (nova-compositor)</t>
        </is>
      </c>
    </row>
    <row r="40">
      <c r="A40" s="7" t="inlineStr">
        <is>
          <t>Desktop Shell Aesthetics</t>
        </is>
      </c>
      <c r="B40" s="6" t="inlineStr">
        <is>
          <t>Fluent Acrylic/Mica, Centered Taskbar</t>
        </is>
      </c>
      <c r="C40" s="6" t="inlineStr">
        <is>
          <t>Persistent Top Menu Bar, Fluid Dock</t>
        </is>
      </c>
      <c r="D40" s="6" t="inlineStr">
        <is>
          <t>GNOME Shell / Dash to Dock</t>
        </is>
      </c>
      <c r="E40" s="6" t="inlineStr">
        <is>
          <t>Headless Console / Serial</t>
        </is>
      </c>
      <c r="F40" s="6" t="inlineStr">
        <is>
          <t>Fixed 3-window desktop with bitmap font</t>
        </is>
      </c>
      <c r="G40" s="18" t="inlineStr">
        <is>
          <t>Synthesized Windows 11 Centered Dock + macOS Menu Bar + Acrylic</t>
        </is>
      </c>
    </row>
    <row r="41">
      <c r="A41" s="7" t="inlineStr">
        <is>
          <t>Window Snapping &amp; Tiling</t>
        </is>
      </c>
      <c r="B41" s="6" t="inlineStr">
        <is>
          <t>Snap Layouts (Hover grid, 4-way split)</t>
        </is>
      </c>
      <c r="C41" s="6" t="inlineStr">
        <is>
          <t>Split View (2-window full screen)</t>
        </is>
      </c>
      <c r="D41" s="6" t="inlineStr">
        <is>
          <t>Tiling shell extensions / GNOME snap</t>
        </is>
      </c>
      <c r="E41" s="6" t="inlineStr">
        <is>
          <t>Headless (tmux / screen)</t>
        </is>
      </c>
      <c r="F41" s="6" t="inlineStr">
        <is>
          <t>Basic drag-to-move only</t>
        </is>
      </c>
      <c r="G41" s="18" t="inlineStr">
        <is>
          <t>Windows 11 Snap Layouts (50/50, 1/3-2/3, quadrants) in Rust</t>
        </is>
      </c>
    </row>
    <row r="42">
      <c r="A42" s="7" t="inlineStr">
        <is>
          <t>System Search &amp; Launcher</t>
        </is>
      </c>
      <c r="B42" s="6" t="inlineStr">
        <is>
          <t>Windows Search Indexer (Taskbar)</t>
        </is>
      </c>
      <c r="C42" s="6" t="inlineStr">
        <is>
          <t>Spotlight Search (Cmd+Space, instant)</t>
        </is>
      </c>
      <c r="D42" s="6" t="inlineStr">
        <is>
          <t>GNOME Activities Overview</t>
        </is>
      </c>
      <c r="E42" s="6" t="inlineStr">
        <is>
          <t>Headless locate / find</t>
        </is>
      </c>
      <c r="F42" s="6" t="inlineStr">
        <is>
          <t>None (Manual file browsing)</t>
        </is>
      </c>
      <c r="G42" s="18" t="inlineStr">
        <is>
          <t>Spotlight-Style Instant Search (Super+Space, &lt;10ms fuzzy indexing)</t>
        </is>
      </c>
    </row>
    <row r="43">
      <c r="A43" s="7" t="inlineStr">
        <is>
          <t>Pro Developer Terminal</t>
        </is>
      </c>
      <c r="B43" s="6" t="inlineStr">
        <is>
          <t>Windows Terminal (Tabs, GPU, 24-bit)</t>
        </is>
      </c>
      <c r="C43" s="6" t="inlineStr">
        <is>
          <t>Terminal.app / iTerm2 (Tabs, ANSI)</t>
        </is>
      </c>
      <c r="D43" s="6" t="inlineStr">
        <is>
          <t>GNOME Terminal / Alacritty (Tabs, 24-bit)</t>
        </is>
      </c>
      <c r="E43" s="6" t="inlineStr">
        <is>
          <t>SSH Remote PTY Terminal</t>
        </is>
      </c>
      <c r="F43" s="6" t="inlineStr">
        <is>
          <t>Basic VGA terminal (no tabs, 16 colors)</t>
        </is>
      </c>
      <c r="G43" s="18" t="inlineStr">
        <is>
          <t>Pro GPU-Accelerated 24-Bit TrueColor Terminal (nova-term) in Rust</t>
        </is>
      </c>
    </row>
    <row r="44">
      <c r="A44" s="7" t="inlineStr">
        <is>
          <t>Application Distribution</t>
        </is>
      </c>
      <c r="B44" s="6" t="inlineStr">
        <is>
          <t>MSIX / Win32 / Microsoft Store</t>
        </is>
      </c>
      <c r="C44" s="6" t="inlineStr">
        <is>
          <t>.app Bundles / DMG / App Store</t>
        </is>
      </c>
      <c r="D44" s="6" t="inlineStr">
        <is>
          <t>Flatpak / Snap / Deb / Software Center</t>
        </is>
      </c>
      <c r="E44" s="6" t="inlineStr">
        <is>
          <t>APT / DEB / Cloud-Init packages</t>
        </is>
      </c>
      <c r="F44" s="6" t="inlineStr">
        <is>
          <t>Single raw ELF binaries copied to FAT32</t>
        </is>
      </c>
      <c r="G44" s="18" t="inlineStr">
        <is>
          <t>Self-Contained .app Bundles &amp; Cryptographically Signed App Store</t>
        </is>
      </c>
    </row>
  </sheetData>
</worksheet>
</file>

<file path=xl/worksheets/sheet2.xml><?xml version="1.0" encoding="utf-8"?>
<worksheet xmlns="http://schemas.openxmlformats.org/spreadsheetml/2006/main">
  <sheetPr>
    <pageSetUpPr fitToPage="1"/>
  </sheetPr>
  <sheetViews>
    <sheetView workbookViewId="0">
      <pane ySplit="1" topLeftCell="A2" activePane="bottomLeft" state="frozen"/>
    </sheetView>
  </sheetViews>
  <sheetFormatPr defaultRowHeight="16.0" defaultColWidth="15.0"/>
  <cols>
    <col customWidth="1" min="1" max="1" width="24"/>
    <col customWidth="1" min="2" max="2" width="38"/>
    <col customWidth="1" min="3" max="3" width="54"/>
    <col customWidth="1" min="4" max="4" width="52"/>
    <col customWidth="1" min="5" max="5" width="14"/>
    <col customWidth="1" min="6" max="6" width="16"/>
    <col customWidth="1" min="7" max="7" width="44"/>
  </cols>
  <sheetData>
    <row r="1">
      <c r="A1" s="3" t="inlineStr">
        <is>
          <t>Month</t>
        </is>
      </c>
      <c r="B1" s="3" t="inlineStr">
        <is>
          <t>Task</t>
        </is>
      </c>
      <c r="C1" s="3" t="inlineStr">
        <is>
          <t>Description (purpose &amp; function)</t>
        </is>
      </c>
      <c r="D1" s="3" t="inlineStr">
        <is>
          <t>How to integrate into NovaOS</t>
        </is>
      </c>
      <c r="E1" s="4" t="inlineStr">
        <is>
          <t>Language</t>
        </is>
      </c>
      <c r="F1" s="4" t="inlineStr">
        <is>
          <t>Status</t>
        </is>
      </c>
      <c r="G1" s="3" t="inlineStr">
        <is>
          <t>Notes &amp; Verification Criteria</t>
        </is>
      </c>
    </row>
    <row r="2">
      <c r="A2" s="8" t="inlineStr">
        <is>
          <t>Month 1 - Foundation</t>
        </is>
      </c>
      <c r="B2" s="7" t="inlineStr">
        <is>
          <t>Pure Rust x86_64 Long Mode &amp; PML4 4-Level Paging Engine</t>
        </is>
      </c>
      <c r="C2" s="6" t="inlineStr">
        <is>
          <t>Transition the CPU execution model from 32-bit protected mode (i686) to pure 64-bit Long Mode (x86_64). Implement 4-level paging (PML4 -&gt; PDPT -&gt; PD -&gt; PT) in Rust #![no_std], enabling a 48-bit (256 TB) virtual address space, canonical address filtering, NX (No-Execute) hardware protection on heap/stack pages, and RIP-relative addressing.</t>
        </is>
      </c>
      <c r="D2" s="6" t="inlineStr">
        <is>
          <t>Replace kernel/arch/x86/mm/paging.c with kernel/src/arch/x86_64/paging.rs. Initialize PML4 root table in Rust; identity map the first 4GB with 2MB huge pages; map higher-half kernel base at 0xFFFF_8000_0000_0000; activate Long Mode via EFER MSR and CR0/CR4 registers.</t>
        </is>
      </c>
      <c r="E2" s="8" t="inlineStr">
        <is>
          <t>Rust</t>
        </is>
      </c>
      <c r="F2" s="9" t="inlineStr">
        <is>
          <t>Planned</t>
        </is>
      </c>
      <c r="G2" s="6" t="inlineStr">
        <is>
          <t>Zero-unsafe page-table walker; supports 2MB and 1GB huge pages; validates Page Fault Error Code (PFEC) bits (P, W/R, U/S, RSVD, I/D).</t>
        </is>
      </c>
    </row>
    <row r="3">
      <c r="A3" s="8" t="inlineStr">
        <is>
          <t>Month 1 - Foundation</t>
        </is>
      </c>
      <c r="B3" s="7" t="inlineStr">
        <is>
          <t>Pure Rust UEFI Bootloader &amp; GPT Partition Discovery</t>
        </is>
      </c>
      <c r="C3" s="6" t="inlineStr">
        <is>
          <t>Replace legacy BIOS / Multiboot 1 with a modern UEFI 2.9 bootloader written in Rust (using uefi-rs). Supports GUID Partition Tables (GPT), Secure Boot PE/COFF cryptographic signature checking, queries UEFI GOP for native display resolution, reads the physical memory map, and jumps directly to 64-bit kernel entry.</t>
        </is>
      </c>
      <c r="D3" s="6" t="inlineStr">
        <is>
          <t>boot/uefi-loader/src/main.rs producing BOOTX64.EFI. Reads EFI System Partition (ESP), parses GPT partition entries (type GUID 0FC63DAF-8483-4772-8E79-3D69D8477DE4 for root), loads 64-bit ELF kernel image, exits boot services, and transfers BootInfo struct.</t>
        </is>
      </c>
      <c r="E3" s="8" t="inlineStr">
        <is>
          <t>Rust</t>
        </is>
      </c>
      <c r="F3" s="9" t="inlineStr">
        <is>
          <t>Planned</t>
        </is>
      </c>
      <c r="G3" s="6" t="inlineStr">
        <is>
          <t>Eliminates GRUB dependency; boots on modern physical laptops, desktops, and cloud hypervisors; initializes GOP linear framebuffer at native 1080p/4K resolution.</t>
        </is>
      </c>
    </row>
    <row r="4">
      <c r="A4" s="8" t="inlineStr">
        <is>
          <t>Month 1 - Foundation</t>
        </is>
      </c>
      <c r="B4" s="7" t="inlineStr">
        <is>
          <t>Fast Syscall/Sysret MSR Dispatcher &amp; 64-Bit ABI</t>
        </is>
      </c>
      <c r="C4" s="6" t="inlineStr">
        <is>
          <t>Upgrade system call dispatching from legacy 32-bit software interrupts (int 0x80) to fast hardware 64-bit syscall/sysret instructions via CPU Model Specific Registers (MSR IA32_LSTAR, IA32_STAR, IA32_FMASK).</t>
        </is>
      </c>
      <c r="D4" s="6" t="inlineStr">
        <is>
          <t>kernel/src/arch/x86_64/syscall.rs and userland/libs/nova-abi/src/syscall.rs. Configures IA32_LSTAR with 64-bit kernel entry point, swaps user/kernel stack pointer via swapgs/IA32_KERNEL_GS_BASE, preserves callee-saved registers (R12-R15, RBX, RBP), and dispatches via strongly-typed Rust enum.</t>
        </is>
      </c>
      <c r="E4" s="8" t="inlineStr">
        <is>
          <t>Rust</t>
        </is>
      </c>
      <c r="F4" s="9" t="inlineStr">
        <is>
          <t>Planned</t>
        </is>
      </c>
      <c r="G4" s="6" t="inlineStr">
        <is>
          <t>Drops syscall latency from ~450 cycles (int 0x80) to ~70 cycles (syscall/sysret); enforces 64-bit userland boundary checking.</t>
        </is>
      </c>
    </row>
    <row r="5">
      <c r="A5" s="8" t="inlineStr">
        <is>
          <t>Month 1 - Foundation</t>
        </is>
      </c>
      <c r="B5" s="7" t="inlineStr">
        <is>
          <t>Demand Paging &amp; Copy-on-Write (CoW) Virtual Memory Engine</t>
        </is>
      </c>
      <c r="C5" s="6" t="inlineStr">
        <is>
          <t>Implement true demand paging driven by page fault (#PF exception 14) handling. Memory is not eagerly allocated; pages are faulted in on first access. Forked processes share physical pages marked read-only until written, duplicating only modified pages (CoW).</t>
        </is>
      </c>
      <c r="D5" s="6" t="inlineStr">
        <is>
          <t>kernel/src/mm/vmm.rs and kernel/src/mm/fault.rs. Manages per-process Virtual Memory Area (VMA) tree using BTreeMap&lt;VirtualAddress, VmaRegion&gt;; handles anonymous memory, file-backed mappings, guard pages, and CoW page duplication via physical page refcounting.</t>
        </is>
      </c>
      <c r="E5" s="8" t="inlineStr">
        <is>
          <t>Rust</t>
        </is>
      </c>
      <c r="F5" s="9" t="inlineStr">
        <is>
          <t>Planned</t>
        </is>
      </c>
      <c r="G5" s="6" t="inlineStr">
        <is>
          <t>Reduces memory footprint by up to 75%; accelerates process spawning; enforces ASLR randomized virtual addresses.</t>
        </is>
      </c>
    </row>
    <row r="6">
      <c r="A6" s="8" t="inlineStr">
        <is>
          <t>Month 1 - Foundation</t>
        </is>
      </c>
      <c r="B6" s="7" t="inlineStr">
        <is>
          <t>Preemptive Tickless SMP Scheduler with Priority Classes</t>
        </is>
      </c>
      <c r="C6" s="6" t="inlineStr">
        <is>
          <t>Upgrade the basic multi-core scheduler to a tickless preemptive SMP scheduler in Rust. Supports priority classes (Realtime, Interactive, Normal, Batch, Idle) modeled after Windows NT dynamic boost and Linux CFS, with per-CPU runqueues, lockless work-stealing, and APIC one-shot timers.</t>
        </is>
      </c>
      <c r="D6" s="6" t="inlineStr">
        <is>
          <t>kernel/src/sched/scheduler.rs, runqueue.rs, and thread.rs. Features per-CPU Thread Control Blocks (TCB), SSE/AVX extended state preservation (xsave/xrstor), ticket spinlocks, adaptive sleep queues, and tickless timer interrupts via Local APIC timer.</t>
        </is>
      </c>
      <c r="E6" s="8" t="inlineStr">
        <is>
          <t>Rust</t>
        </is>
      </c>
      <c r="F6" s="9" t="inlineStr">
        <is>
          <t>Planned</t>
        </is>
      </c>
      <c r="G6" s="6" t="inlineStr">
        <is>
          <t>Verified across 2 to 32 virtual/physical cores; zero timer interrupt overhead on idle cores; dynamic thread priority boosting for responsive UI interactions.</t>
        </is>
      </c>
    </row>
    <row r="7">
      <c r="A7" s="8" t="inlineStr">
        <is>
          <t>Month 1 - Foundation</t>
        </is>
      </c>
      <c r="B7" s="7" t="inlineStr">
        <is>
          <t>Pure Rust NVMe 2.0 PCIe Storage Controller Driver</t>
        </is>
      </c>
      <c r="C7" s="6" t="inlineStr">
        <is>
          <t>Implement a native NVMe 2.0 driver in Rust to unlock multi-gigabyte/sec solid-state storage over PCIe. Manages Admin Submission/Completion Queues (ASQ/ACQ) and multiple I/O Queues (IOSQ/IOCQ), utilizing MSI-X interrupt routing and physical PRPs/SGLs for zero-copy DMA transfers.</t>
        </is>
      </c>
      <c r="D7" s="6" t="inlineStr">
        <is>
          <t>kernel/src/drivers/storage/nvme.rs. Enumerate PCI class 0x010802; map MMIO controller registers; allocate circular ring buffers in DMA memory; register BlockDevice trait instance with VFS.</t>
        </is>
      </c>
      <c r="E7" s="8" t="inlineStr">
        <is>
          <t>Rust</t>
        </is>
      </c>
      <c r="F7" s="9" t="inlineStr">
        <is>
          <t>Planned</t>
        </is>
      </c>
      <c r="G7" s="6" t="inlineStr">
        <is>
          <t>Reaches 2.5+ GB/s throughput in hypervisors/bare metal; provides asynchronous block read/write operations with completion polling or MSI-X interrupts.</t>
        </is>
      </c>
    </row>
    <row r="8">
      <c r="A8" s="8" t="inlineStr">
        <is>
          <t>Month 1 - Foundation</t>
        </is>
      </c>
      <c r="B8" s="7" t="inlineStr">
        <is>
          <t>Pure Rust xHCI USB 3.2 Host Controller &amp; HID Stack</t>
        </is>
      </c>
      <c r="C8" s="6" t="inlineStr">
        <is>
          <t>Implement a complete xHCI (Extensible Host Controller Interface) driver in Rust supporting USB 1.1, 2.0, and 3.2 devices. Includes Transfer Request Block (TRB) ring management, device context slot assignment, and USB HID drivers for keyboards, optical mice, and multi-touch digitizers.</t>
        </is>
      </c>
      <c r="D8" s="6" t="inlineStr">
        <is>
          <t>kernel/src/drivers/usb/xhci.rs and drivers/usb/hid.rs. Discovers xHCI PCI device; configures DCBAA and command rings; enumerates root hub ports; parses USB HID descriptor reports and injects input events into the kernel input queue.</t>
        </is>
      </c>
      <c r="E8" s="8" t="inlineStr">
        <is>
          <t>Rust</t>
        </is>
      </c>
      <c r="F8" s="9" t="inlineStr">
        <is>
          <t>Planned</t>
        </is>
      </c>
      <c r="G8" s="6" t="inlineStr">
        <is>
          <t>Complete replacement for legacy PS/2; hot-plug detection for USB mice, keyboards, game controllers, and flash drives.</t>
        </is>
      </c>
    </row>
    <row r="9">
      <c r="A9" s="8" t="inlineStr">
        <is>
          <t>Month 2 - Storage &amp; Async I/O</t>
        </is>
      </c>
      <c r="B9" s="7" t="inlineStr">
        <is>
          <t>Concurrent VFS with Lockless Dentry Cache &amp; Async Inotify</t>
        </is>
      </c>
      <c r="C9" s="6" t="inlineStr">
        <is>
          <t>Overhaul the single-lock Virtual File System into a highly concurrent VFS in Rust. Implements a lockless directory entry cache (dcache) using concurrent hash maps, hierarchical path resolution, inode refcounting, symbolic and hard link resolution, POSIX DAC permissions, and an asynchronous file-change notification engine (sys_inotify).</t>
        </is>
      </c>
      <c r="D9" s="6" t="inlineStr">
        <is>
          <t>kernel/src/fs/vfs/mod.rs, dcache.rs, and inotify.rs. Exposes FileSystem, Inode, and FileHandle traits; maintains global mount table (/dev, /proc, /sys, /mnt); supports inotify watch descriptors for instant file manager folder updates.</t>
        </is>
      </c>
      <c r="E9" s="8" t="inlineStr">
        <is>
          <t>Rust</t>
        </is>
      </c>
      <c r="F9" s="9" t="inlineStr">
        <is>
          <t>Planned</t>
        </is>
      </c>
      <c r="G9" s="6" t="inlineStr">
        <is>
          <t>Eliminates lock contention across threads; path lookup performance improves 10x; real-time file change notifications for GUI and server daemons.</t>
        </is>
      </c>
    </row>
    <row r="10">
      <c r="A10" s="8" t="inlineStr">
        <is>
          <t>Month 2 - Storage &amp; Async I/O</t>
        </is>
      </c>
      <c r="B10" s="7" t="inlineStr">
        <is>
          <t>Pure Rust Enterprise Filesystem (NovaFS) with Snapshots &amp; Journaling</t>
        </is>
      </c>
      <c r="C10" s="6" t="inlineStr">
        <is>
          <t>Build a modern transactional copy-on-write filesystem in pure Rust (NovaFS). Combines the best elements of ZFS and Btrfs: B-tree on-disk indexing, 64-bit extents, write-ahead journaling for crash consistency, atomic snapshot creation, subvolumes, and SHA-256 data block integrity validation.</t>
        </is>
      </c>
      <c r="D10" s="6" t="inlineStr">
        <is>
          <t>kernel/src/fs/novafs/btree.rs, super.rs, and snapshot.rs. Formats partition with NovaFS superblock; writes transactional trees; supports instant zero-cost read-only snapshots and writable subvolumes for OS updates and container root filesystems.</t>
        </is>
      </c>
      <c r="E10" s="8" t="inlineStr">
        <is>
          <t>Rust</t>
        </is>
      </c>
      <c r="F10" s="9" t="inlineStr">
        <is>
          <t>Planned</t>
        </is>
      </c>
      <c r="G10" s="6" t="inlineStr">
        <is>
          <t>Prevents data corruption during power loss; sub-second snapshot creation; SHA-256 block checksumming automatically detects bit-rot.</t>
        </is>
      </c>
    </row>
    <row r="11">
      <c r="A11" s="8" t="inlineStr">
        <is>
          <t>Month 2 - Storage &amp; Async I/O</t>
        </is>
      </c>
      <c r="B11" s="7" t="inlineStr">
        <is>
          <t>Asynchronous I/O Ring Engine (nova_uring)</t>
        </is>
      </c>
      <c r="C11" s="6" t="inlineStr">
        <is>
          <t>Implement an asynchronous ring-buffer I/O subsystem in the kernel inspired by Linux io_uring and Windows IOCP. Allows userland applications to submit batches of I/O requests (read, write, recv, send, fsync) into a submission ring buffer in shared memory and harvest completions from a completion ring buffer with zero syscall overhead.</t>
        </is>
      </c>
      <c r="D11" s="6" t="inlineStr">
        <is>
          <t>kernel/src/io/uring.rs and userland/libs/nova-io/src/lib.rs. Allocates mapped shared-memory submission queue (SQ) and completion queue (CQ); kernel worker threads process queued I/O requests without userland context switches.</t>
        </is>
      </c>
      <c r="E11" s="8" t="inlineStr">
        <is>
          <t>Rust</t>
        </is>
      </c>
      <c r="F11" s="9" t="inlineStr">
        <is>
          <t>Planned</t>
        </is>
      </c>
      <c r="G11" s="6" t="inlineStr">
        <is>
          <t>Scales to 100,000+ operations/sec; powers both the high-concurrency server network reactor and desktop compositor buffer streaming.</t>
        </is>
      </c>
    </row>
    <row r="12">
      <c r="A12" s="8" t="inlineStr">
        <is>
          <t>Month 2 - Storage &amp; Async I/O</t>
        </is>
      </c>
      <c r="B12" s="7" t="inlineStr">
        <is>
          <t>Kernel Memory Page Cache &amp; Anonymous Swap Subsystem</t>
        </is>
      </c>
      <c r="C12" s="6" t="inlineStr">
        <is>
          <t>Implement a unified Page Cache in Rust that caches disk blocks in unallocated RAM and flushes dirty pages asynchronously to disk. Backed by an anonymous swap subsystem with zswap-style in-RAM compression (using LZ4 in Rust) before evicting pages to the swap partition.</t>
        </is>
      </c>
      <c r="D12" s="6" t="inlineStr">
        <is>
          <t>kernel/src/mm/pagecache.rs and swap.rs. Hooks into VFS read/write path; maintains active/inactive LRU lists; compresses anonymous memory pages with LZ4; writes compressed blocks to swap disk when memory pressure exceeds 85%.</t>
        </is>
      </c>
      <c r="E12" s="8" t="inlineStr">
        <is>
          <t>Rust</t>
        </is>
      </c>
      <c r="F12" s="9" t="inlineStr">
        <is>
          <t>Planned</t>
        </is>
      </c>
      <c r="G12" s="6" t="inlineStr">
        <is>
          <t>Dramatic reduction in disk I/O; smooth multi-tasking under memory-intensive workloads; prevents OOM kernel panics.</t>
        </is>
      </c>
    </row>
    <row r="13">
      <c r="A13" s="8" t="inlineStr">
        <is>
          <t>Month 2 - Storage &amp; Async I/O</t>
        </is>
      </c>
      <c r="B13" s="7" t="inlineStr">
        <is>
          <t>Linux/POSIX Compatibility Layer (novalibc &amp; POSIX ABI)</t>
        </is>
      </c>
      <c r="C13" s="6" t="inlineStr">
        <is>
          <t>Develop a clean, modular Rust POSIX userland runtime library (novalibc / nova-rt) implementing standard POSIX.1-2017 syscall interfaces: open, read, write, close, mmap, fork, execve, pipe2, poll, epoll_create, pthread_* primitives, and signals (sigaction, kill).</t>
        </is>
      </c>
      <c r="D13" s="6" t="inlineStr">
        <is>
          <t>userland/libs/novalibc/src/lib.rs and userland/libs/nova-rt/src/crt0.rs. Bridges C ABI calling convention to 64-bit NovaOS syscalls; provides dynamic linker ld-nova.so for loading position-independent shared objects (.so).</t>
        </is>
      </c>
      <c r="E13" s="8" t="inlineStr">
        <is>
          <t>Rust</t>
        </is>
      </c>
      <c r="F13" s="9" t="inlineStr">
        <is>
          <t>Planned</t>
        </is>
      </c>
      <c r="G13" s="6" t="inlineStr">
        <is>
          <t>Unlocks compiling standard open-source C and Rust CLI programs, core utilities, and libraries directly for NovaOS.</t>
        </is>
      </c>
    </row>
    <row r="14">
      <c r="A14" s="8" t="inlineStr">
        <is>
          <t>Month 4 - Graphics &amp; DRM</t>
        </is>
      </c>
      <c r="B14" s="7" t="inlineStr">
        <is>
          <t>DRM/KMS Kernel Mode-Setting &amp; Display Plane Pipeline</t>
        </is>
      </c>
      <c r="C14" s="6" t="inlineStr">
        <is>
          <t>Implement a Direct Rendering Manager / Kernel Mode Setting (DRM/KMS) display driver in Rust. Manages display connectors, encoders, CRTCs, and primary/overlay/cursor hardware planes, supporting dynamic resolution changes, VBLANK interrupt synchronization, and page flipping.</t>
        </is>
      </c>
      <c r="D14" s="6" t="inlineStr">
        <is>
          <t>kernel/src/drivers/gpu/drm.rs and kms.rs. Exposes /dev/dri/card0 character device; implements DRM_IOCTL_MODE_GETRESOURCES, DRM_IOCTL_MODE_PAGE_FLIP, and hardware cursor plane positioning without redrawing desktop pixels.</t>
        </is>
      </c>
      <c r="E14" s="8" t="inlineStr">
        <is>
          <t>Rust</t>
        </is>
      </c>
      <c r="F14" s="9" t="inlineStr">
        <is>
          <t>Planned</t>
        </is>
      </c>
      <c r="G14" s="6" t="inlineStr">
        <is>
          <t>Replaces legacy fixed-mode linear framebuffers; enables hardware-accelerated tear-free display page flipping synchronized to monitor refresh rate (60-144 Hz).</t>
        </is>
      </c>
    </row>
    <row r="15">
      <c r="A15" s="8" t="inlineStr">
        <is>
          <t>Month 4 - Graphics &amp; DRM</t>
        </is>
      </c>
      <c r="B15" s="7" t="inlineStr">
        <is>
          <t>VirtIO-GPU 3D Hardware Acceleration &amp; Virgl Mesa Bridge</t>
        </is>
      </c>
      <c r="C15" s="6" t="inlineStr">
        <is>
          <t>Extend the VirtIO-GPU driver to support 3D acceleration primitives using Virgl 3D command submission. Routes 3D draw commands, shaders, and textures from userland into the host hypervisor's physical GPU (OpenGL/Vulkan) for silky smooth 60 FPS graphics.</t>
        </is>
      </c>
      <c r="D15" s="6" t="inlineStr">
        <is>
          <t>kernel/src/drivers/gpu/virtio_3d.rs and virgl_cmd.rs. Implements virtio 3D resource creation, 3D context submission, transfer_to_host_3d, and virgl renderer command buffers.</t>
        </is>
      </c>
      <c r="E15" s="8" t="inlineStr">
        <is>
          <t>Rust</t>
        </is>
      </c>
      <c r="F15" s="9" t="inlineStr">
        <is>
          <t>Planned</t>
        </is>
      </c>
      <c r="G15" s="6" t="inlineStr">
        <is>
          <t>Hardware-accelerated 3D rendering in QEMU, VirtualBox, Proxmox, and cloud instances; delivers desktop fluid animations and effects.</t>
        </is>
      </c>
    </row>
    <row r="16">
      <c r="A16" s="8" t="inlineStr">
        <is>
          <t>Month 4 - Graphics &amp; DRM</t>
        </is>
      </c>
      <c r="B16" s="7" t="inlineStr">
        <is>
          <t>Zero-Copy DMA-BUF Framebuffer Sharing &amp; GPU Memory Allocator</t>
        </is>
      </c>
      <c r="C16" s="6" t="inlineStr">
        <is>
          <t>Implement a kernel DMA-BUF memory sharing allocator in Rust. Allows userland applications to allocate hardware-backed graphics buffers and pass handles to the compositor for zero-copy presentation, eliminating CPU pixel copying.</t>
        </is>
      </c>
      <c r="D16" s="6" t="inlineStr">
        <is>
          <t>kernel/src/drivers/gpu/dmabuf.rs and kernel/src/syscall/drm.rs. Provides SYS_DMABUF_ALLOC and SYS_DMABUF_EXPORT/IMPORT; maps physical pages into client and compositor address spaces simultaneously.</t>
        </is>
      </c>
      <c r="E16" s="8" t="inlineStr">
        <is>
          <t>Rust</t>
        </is>
      </c>
      <c r="F16" s="9" t="inlineStr">
        <is>
          <t>Planned</t>
        </is>
      </c>
      <c r="G16" s="6" t="inlineStr">
        <is>
          <t>Reduces compositor frame latency from 15ms to &lt;1ms; enables video playback and rich UI rendering with near-zero CPU overhead.</t>
        </is>
      </c>
    </row>
    <row r="17">
      <c r="A17" s="8" t="inlineStr">
        <is>
          <t>Month 5 - Desktop Experience</t>
        </is>
      </c>
      <c r="B17" s="7" t="inlineStr">
        <is>
          <t>Intel High Definition Audio (HDA) Driver &amp; Sound Subsystem</t>
        </is>
      </c>
      <c r="C17" s="6" t="inlineStr">
        <is>
          <t>Implement a pure Rust Intel HDA (Azalia) controller driver. Discovers audio codecs over the HDA link, sets up DMA audio engine stream descriptor rings, supports multi-channel 24-bit 48/96kHz PCM playback and recording, and provides per-stream volume controls.</t>
        </is>
      </c>
      <c r="D17" s="6" t="inlineStr">
        <is>
          <t>kernel/src/drivers/audio/hda.rs and codec.rs. Exposes /dev/snd/pcm0p; interfaces with userland sound daemon novasound for zero-latency multi-stream mixing.</t>
        </is>
      </c>
      <c r="E17" s="8" t="inlineStr">
        <is>
          <t>Rust</t>
        </is>
      </c>
      <c r="F17" s="9" t="inlineStr">
        <is>
          <t>Planned</t>
        </is>
      </c>
      <c r="G17" s="6" t="inlineStr">
        <is>
          <t>High-fidelity 24-bit 96kHz audio output; replaces obsolete AC97; works natively on modern Intel/AMD motherboards and virtual machines.</t>
        </is>
      </c>
    </row>
  </sheetData>
</worksheet>
</file>

<file path=xl/worksheets/sheet3.xml><?xml version="1.0" encoding="utf-8"?>
<worksheet xmlns="http://schemas.openxmlformats.org/spreadsheetml/2006/main">
  <sheetPr>
    <pageSetUpPr fitToPage="1"/>
  </sheetPr>
  <sheetViews>
    <sheetView workbookViewId="0">
      <pane ySplit="1" topLeftCell="A2" activePane="bottomLeft" state="frozen"/>
    </sheetView>
  </sheetViews>
  <sheetFormatPr defaultRowHeight="16.0" defaultColWidth="15.0"/>
  <cols>
    <col customWidth="1" min="1" max="1" width="26"/>
    <col customWidth="1" min="2" max="2" width="40"/>
    <col customWidth="1" min="3" max="3" width="54"/>
    <col customWidth="1" min="4" max="4" width="52"/>
    <col customWidth="1" min="5" max="5" width="14"/>
    <col customWidth="1" min="6" max="6" width="16"/>
    <col customWidth="1" min="7" max="7" width="44"/>
  </cols>
  <sheetData>
    <row r="1">
      <c r="A1" s="3" t="inlineStr">
        <is>
          <t>Month</t>
        </is>
      </c>
      <c r="B1" s="3" t="inlineStr">
        <is>
          <t>Task</t>
        </is>
      </c>
      <c r="C1" s="3" t="inlineStr">
        <is>
          <t>Description (purpose &amp; function)</t>
        </is>
      </c>
      <c r="D1" s="3" t="inlineStr">
        <is>
          <t>How to integrate into NovaOS</t>
        </is>
      </c>
      <c r="E1" s="4" t="inlineStr">
        <is>
          <t>Language</t>
        </is>
      </c>
      <c r="F1" s="4" t="inlineStr">
        <is>
          <t>Status</t>
        </is>
      </c>
      <c r="G1" s="3" t="inlineStr">
        <is>
          <t>Notes &amp; Verification Criteria</t>
        </is>
      </c>
    </row>
    <row r="2">
      <c r="A2" s="8" t="inlineStr">
        <is>
          <t>Month 4 - Compositor &amp; UI</t>
        </is>
      </c>
      <c r="B2" s="7" t="inlineStr">
        <is>
          <t>Hardware-Accelerated Wayland-Style Display Server (nova-compositor)</t>
        </is>
      </c>
      <c r="C2" s="6" t="inlineStr">
        <is>
          <t>Build a modern, secure display server in pure Rust based on Wayland architecture principles. Manages client window surfaces, enforces window isolation (preventing rogue apps from spying on keystrokes or screen buffers), performs double-buffered VBLANK-synchronized compositing, and utilizes DMA-BUF zero-copy sharing for tear-free 60 FPS presentation.</t>
        </is>
      </c>
      <c r="D2" s="6" t="inlineStr">
        <is>
          <t>userland/desktop/nova-compositor/src/main.rs and surface.rs. Communicates with apps via IPC unix domain sockets; integrates with DRM/KMS for page flips and hardware cursor planes.</t>
        </is>
      </c>
      <c r="E2" s="8" t="inlineStr">
        <is>
          <t>Rust</t>
        </is>
      </c>
      <c r="F2" s="9" t="inlineStr">
        <is>
          <t>Planned</t>
        </is>
      </c>
      <c r="G2" s="6" t="inlineStr">
        <is>
          <t>Complete elimination of screen tearing; strict security isolation between applications; smooth 60 FPS rendering.</t>
        </is>
      </c>
    </row>
    <row r="3">
      <c r="A3" s="8" t="inlineStr">
        <is>
          <t>Month 4 - Compositor &amp; UI</t>
        </is>
      </c>
      <c r="B3" s="7" t="inlineStr">
        <is>
          <t>Modern UI Toolkit &amp; Scene Graph (nova-ui in Pure Rust)</t>
        </is>
      </c>
      <c r="C3" s="6" t="inlineStr">
        <is>
          <t>Develop a retain-mode, reactive UI toolkit and scene graph in Rust. Features vector shape rasterization (rounded rectangles, Bezier paths, anti-aliased text rendering), flexbox layout engine, responsive event routing, and hardware-accelerated shaders for blur and drop shadows.</t>
        </is>
      </c>
      <c r="D3" s="6" t="inlineStr">
        <is>
          <t>userland/libs/nova-ui/src/lib.rs, layout.rs, and render.rs. Exposes declarative widget macros and reactive state bindings for buttons, sliders, text inputs, lists, tables, tabs, and modals.</t>
        </is>
      </c>
      <c r="E3" s="8" t="inlineStr">
        <is>
          <t>Rust</t>
        </is>
      </c>
      <c r="F3" s="9" t="inlineStr">
        <is>
          <t>Planned</t>
        </is>
      </c>
      <c r="G3" s="6" t="inlineStr">
        <is>
          <t>Standardized high-performance widget toolkit for all native desktop applications; memory-efficient retain-mode graph.</t>
        </is>
      </c>
    </row>
    <row r="4">
      <c r="A4" s="8" t="inlineStr">
        <is>
          <t>Month 4 - Compositor &amp; UI</t>
        </is>
      </c>
      <c r="B4" s="7" t="inlineStr">
        <is>
          <t>Fluent Acrylic &amp; macOS Material Design System</t>
        </is>
      </c>
      <c r="C4" s="6" t="inlineStr">
        <is>
          <t>Synthesize the visual elegance of Windows 11 Fluent Design (acrylic/mica materials, glassmorphism, accent colors, smooth elevation shadows) and macOS (rounded corners, delicate borders, vibrant color palettes, crisp dark/light themes).</t>
        </is>
      </c>
      <c r="D4" s="6" t="inlineStr">
        <is>
          <t>userland/libs/nova-ui/src/theme/fluent_macos.rs. Defines design tokens (colors, elevation shadows, corner radii 8-12px, acrylic blur convolution shaders); supports live dark/light mode toggle.</t>
        </is>
      </c>
      <c r="E4" s="8" t="inlineStr">
        <is>
          <t>Rust</t>
        </is>
      </c>
      <c r="F4" s="9" t="inlineStr">
        <is>
          <t>Planned</t>
        </is>
      </c>
      <c r="G4" s="6" t="inlineStr">
        <is>
          <t>Delivers an enterprise-grade, stunning aesthetic combining the best of Windows 11 and macOS Sequoia.</t>
        </is>
      </c>
    </row>
    <row r="5">
      <c r="A5" s="8" t="inlineStr">
        <is>
          <t>Month 4 - Compositor &amp; UI</t>
        </is>
      </c>
      <c r="B5" s="7" t="inlineStr">
        <is>
          <t>TrueType / OpenType Vector Font Engine with Subpixel Antialiasing</t>
        </is>
      </c>
      <c r="C5" s="6" t="inlineStr">
        <is>
          <t>Implement a pure Rust TrueType/OpenType font parsing and glyph rasterization engine (using pure Rust font crates like ttf-parser and ab_glyph). Supports scalable typography, kerning, hinting, subpixel antialiasing, and Unicode coverage (Latin, Cyrillic, Greek, symbols, and UI glyphs).</t>
        </is>
      </c>
      <c r="D5" s="6" t="inlineStr">
        <is>
          <t>userland/libs/nova-ui/src/font/rasterizer.rs. Loads vector fonts (Inter, SF Pro-style, Roboto, Fira Code); caches glyph bitmaps in GPU texture atlas; performs subpixel text positioning.</t>
        </is>
      </c>
      <c r="E5" s="8" t="inlineStr">
        <is>
          <t>Rust</t>
        </is>
      </c>
      <c r="F5" s="9" t="inlineStr">
        <is>
          <t>Planned</t>
        </is>
      </c>
      <c r="G5" s="6" t="inlineStr">
        <is>
          <t>Crystal-clear typography at any DPI scale; eliminates pixelated bitmap fonts; supports monospace ligatures in terminal and code editor.</t>
        </is>
      </c>
    </row>
    <row r="6">
      <c r="A6" s="8" t="inlineStr">
        <is>
          <t>Month 5 - Desktop Experience</t>
        </is>
      </c>
      <c r="B6" s="7" t="inlineStr">
        <is>
          <t>macOS-Style Persistent Unified Top Menu Bar</t>
        </is>
      </c>
      <c r="C6" s="6" t="inlineStr">
        <is>
          <t>Build a global top menu bar modeled after macOS. Displays the active application's menu hierarchy (App Name, File, Edit, View, Window, Help) that updates dynamically based on window focus, alongside right-aligned system status indicators (Clock/Calendar flyout, Network status, Audio volume slider, Battery level, and User account pill).</t>
        </is>
      </c>
      <c r="D6" s="6" t="inlineStr">
        <is>
          <t>userland/desktop/nova-shell/src/menubar.rs. Subscribes to window focus events from nova-compositor; queries active app menu tree over IPC; renders persistent 28px top bar with acrylic blur.</t>
        </is>
      </c>
      <c r="E6" s="8" t="inlineStr">
        <is>
          <t>Rust</t>
        </is>
      </c>
      <c r="F6" s="9" t="inlineStr">
        <is>
          <t>Planned</t>
        </is>
      </c>
      <c r="G6" s="6" t="inlineStr">
        <is>
          <t>Maximizes usable window workspace; consistent keyboard shortcut access across all apps; one-click system status controls.</t>
        </is>
      </c>
    </row>
    <row r="7">
      <c r="A7" s="8" t="inlineStr">
        <is>
          <t>Month 5 - Desktop Experience</t>
        </is>
      </c>
      <c r="B7" s="7" t="inlineStr">
        <is>
          <t>Windows 11-Style Centered Dynamic Taskbar &amp; Application Dock</t>
        </is>
      </c>
      <c r="C7" s="6" t="inlineStr">
        <is>
          <t>Build a modern centered taskbar/dock combining Windows 11 aesthetics and macOS dock behavior. Features pinned and running application icons with active dot indicators, mouse-hover live window thumbnail previews, badge notifications, bounce/zoom launch animations, and customizable alignment (centered or left).</t>
        </is>
      </c>
      <c r="D7" s="6" t="inlineStr">
        <is>
          <t>userland/desktop/nova-shell/src/taskbar.rs and dock.rs. Captures miniature surface previews from compositor; displays animated hover flyout with close/minimize actions; includes Start Launcher button.</t>
        </is>
      </c>
      <c r="E7" s="8" t="inlineStr">
        <is>
          <t>Rust</t>
        </is>
      </c>
      <c r="F7" s="9" t="inlineStr">
        <is>
          <t>Planned</t>
        </is>
      </c>
      <c r="G7" s="6" t="inlineStr">
        <is>
          <t>Seamless app launching and switching; instantaneous visual recognition of running tasks with live thumbnail previews.</t>
        </is>
      </c>
    </row>
    <row r="8">
      <c r="A8" s="8" t="inlineStr">
        <is>
          <t>Month 5 - Desktop Experience</t>
        </is>
      </c>
      <c r="B8" s="7" t="inlineStr">
        <is>
          <t>Windows 11 Snap Layouts &amp; Tiling Grid Window Management</t>
        </is>
      </c>
      <c r="C8" s="6" t="inlineStr">
        <is>
          <t>Implement intelligent window snapping and tiling grids. Hovering over a window's maximize button or dragging a window to screen edges/corners triggers an interactive snap overlay (split 50/50, 1/3-2/3, quadrants 2x2, or 3-column layouts) with automatic neighboring window resizing.</t>
        </is>
      </c>
      <c r="D8" s="6" t="inlineStr">
        <is>
          <t>userland/desktop/nova-compositor/src/snap.rs. Displays interactive snap layout card on maximize button hover; snaps windows into proportional screen tiles with synchronized border resizing.</t>
        </is>
      </c>
      <c r="E8" s="8" t="inlineStr">
        <is>
          <t>Rust</t>
        </is>
      </c>
      <c r="F8" s="9" t="inlineStr">
        <is>
          <t>Planned</t>
        </is>
      </c>
      <c r="G8" s="6" t="inlineStr">
        <is>
          <t>Boosts multi-window productivity for developers and power users; brings the most loved Windows 11 feature to NovaOS.</t>
        </is>
      </c>
    </row>
    <row r="9">
      <c r="A9" s="8" t="inlineStr">
        <is>
          <t>Month 5 - Desktop Experience</t>
        </is>
      </c>
      <c r="B9" s="7" t="inlineStr">
        <is>
          <t>macOS Spotlight-Style Universal Instant Search</t>
        </is>
      </c>
      <c r="C9" s="6" t="inlineStr">
        <is>
          <t>Create an instantaneous global search overlay summoned by Super+Space or Ctrl+Space. Features a centered, blurred search input with real-time indexing of applications, documents, system settings panels, shell commands, and instant inline math calculations.</t>
        </is>
      </c>
      <c r="D9" s="6" t="inlineStr">
        <is>
          <t>userland/desktop/nova-search/src/main.rs and indexer.rs. Indexes file names and metadata via SQLite/B-tree index; provides live fuzzy match suggestions in &lt;10ms; launches selected item on Enter.</t>
        </is>
      </c>
      <c r="E9" s="8" t="inlineStr">
        <is>
          <t>Rust</t>
        </is>
      </c>
      <c r="F9" s="9" t="inlineStr">
        <is>
          <t>Planned</t>
        </is>
      </c>
      <c r="G9" s="6" t="inlineStr">
        <is>
          <t>Instant keyboard-driven navigation; eliminates hunting through menus and folders; performs math and unit conversions instantly.</t>
        </is>
      </c>
    </row>
    <row r="10">
      <c r="A10" s="8" t="inlineStr">
        <is>
          <t>Month 5 - Desktop Experience</t>
        </is>
      </c>
      <c r="B10" s="7" t="inlineStr">
        <is>
          <t>Windows Action Center &amp; Notification Flyout</t>
        </is>
      </c>
      <c r="C10" s="6" t="inlineStr">
        <is>
          <t>Build an interactive notification center that slides in from the right edge. Supports rich push notifications with actionable buttons (reply, dismiss, open), persistent notification history, and a Quick Settings grid (Wi-Fi, Bluetooth, Dark Mode toggle, Night Light blue-light filter, Do Not Disturb, Airplane Mode).</t>
        </is>
      </c>
      <c r="D10" s="6" t="inlineStr">
        <is>
          <t>userland/desktop/nova-shell/src/action_center.rs. Listens on notification IPC queue; displays transient banner toasts in bottom-right corner; archives unread notifications in slide-out drawer.</t>
        </is>
      </c>
      <c r="E10" s="8" t="inlineStr">
        <is>
          <t>Rust</t>
        </is>
      </c>
      <c r="F10" s="9" t="inlineStr">
        <is>
          <t>Planned</t>
        </is>
      </c>
      <c r="G10" s="6" t="inlineStr">
        <is>
          <t>Centralized hub for system alerts, calendar events, and hardware toggles; configurable quiet hours.</t>
        </is>
      </c>
    </row>
    <row r="11">
      <c r="A11" s="8" t="inlineStr">
        <is>
          <t>Month 5 - Desktop Experience</t>
        </is>
      </c>
      <c r="B11" s="7" t="inlineStr">
        <is>
          <t>Next-Gen File Explorer (nova-files - Finder + File Explorer Synthesized)</t>
        </is>
      </c>
      <c r="C11" s="6" t="inlineStr">
        <is>
          <t>Build a rich graphical file manager combining Windows File Explorer (ribbon toolbar, path breadcrumbs, file tree pane, detailed properties) and macOS Finder (column view, quick look preview with spacebar, colored tags, tabbed browsing, and drag-and-drop file operations).</t>
        </is>
      </c>
      <c r="D11" s="6" t="inlineStr">
        <is>
          <t>userland/desktop/apps/nova-files/src/main.rs and view.rs. Supports Icons, List, Columns, and Details views; integrates Spacebar QuickLook for images, text, and audio; connects with NovaFS snapshots for file version history.</t>
        </is>
      </c>
      <c r="E11" s="8" t="inlineStr">
        <is>
          <t>Rust</t>
        </is>
      </c>
      <c r="F11" s="9" t="inlineStr">
        <is>
          <t>Planned</t>
        </is>
      </c>
      <c r="G11" s="6" t="inlineStr">
        <is>
          <t>Intuitive file operations with copy/paste/cut/rename; seamless archive extraction; instant folder search.</t>
        </is>
      </c>
    </row>
    <row r="12">
      <c r="A12" s="8" t="inlineStr">
        <is>
          <t>Month 5 - Desktop Experience</t>
        </is>
      </c>
      <c r="B12" s="7" t="inlineStr">
        <is>
          <t>Pro Developer Terminal (nova-term - Ubuntu/Modern Terminal Parity)</t>
        </is>
      </c>
      <c r="C12" s="6" t="inlineStr">
        <is>
          <t>Develop a high-performance GPU-accelerated terminal emulator in Rust. Features 24-bit TrueColor support, ANSI/VT100 escape sequence parsing, multiple tabs, split horizontal/vertical panes, customizable fonts and color schemes (Dracula, Nord, Solarized, Monokai), clipboard integration, and URL click-to-open.</t>
        </is>
      </c>
      <c r="D12" s="6" t="inlineStr">
        <is>
          <t>userland/desktop/apps/nova-term/src/main.rs and pty.rs. Connects to kernel pseudo-terminal master; renders characters using GPU glyph texture cache; handles window resizing with SIGWINCH.</t>
        </is>
      </c>
      <c r="E12" s="8" t="inlineStr">
        <is>
          <t>Rust</t>
        </is>
      </c>
      <c r="F12" s="9" t="inlineStr">
        <is>
          <t>Planned</t>
        </is>
      </c>
      <c r="G12" s="6" t="inlineStr">
        <is>
          <t>Terminal experience on par with Alacritty / Windows Terminal; renders rich CLI TUIs (htop, vim, cargo).</t>
        </is>
      </c>
    </row>
    <row r="13">
      <c r="A13" s="8" t="inlineStr">
        <is>
          <t>Month 5 - Desktop Experience</t>
        </is>
      </c>
      <c r="B13" s="7" t="inlineStr">
        <is>
          <t>Modern Interactive Rust Shell (novash)</t>
        </is>
      </c>
      <c r="C13" s="6" t="inlineStr">
        <is>
          <t>Develop a next-generation interactive user shell in pure Rust inspired by Fish and Zsh. Features real-time syntax highlighting, history-based autosuggestions, tab completions for paths and commands, git branch prompt status, directory bookmarks, and POSIX pipeline execution.</t>
        </is>
      </c>
      <c r="D13" s="6" t="inlineStr">
        <is>
          <t>userland/desktop/apps/novash/src/main.rs and completion.rs. Built on rustyline/liner concepts; provides intelligent tab-completion for built-ins, binaries, and file paths; supports scripting with control flow.</t>
        </is>
      </c>
      <c r="E13" s="8" t="inlineStr">
        <is>
          <t>Rust</t>
        </is>
      </c>
      <c r="F13" s="9" t="inlineStr">
        <is>
          <t>Planned</t>
        </is>
      </c>
      <c r="G13" s="6" t="inlineStr">
        <is>
          <t>Delightful, user-friendly interactive shell out-of-the-box; auto-suggests past commands as you type.</t>
        </is>
      </c>
    </row>
    <row r="14">
      <c r="A14" s="8" t="inlineStr">
        <is>
          <t>Month 5 - Desktop Experience</t>
        </is>
      </c>
      <c r="B14" s="7" t="inlineStr">
        <is>
          <t>Unified System Settings &amp; Control Hub (nova-settings)</t>
        </is>
      </c>
      <c r="C14" s="6" t="inlineStr">
        <is>
          <t>Synthesize Windows 11 Settings and macOS System Settings into a unified, searchable configuration hub. Categories: System (Display resolution/scaling, Sound output/input, Power/Sleep), Network (Wi-Fi, Ethernet, VPN, Proxy), Personalization (Wallpapers, Accent colors, Dark/Light mode), Apps (Default applications, Startup apps), Accounts (Multi-user, Passwords, Privileges), and Updates.</t>
        </is>
      </c>
      <c r="D14" s="6" t="inlineStr">
        <is>
          <t>userland/desktop/apps/nova-settings/src/main.rs and panels/*.rs. Queries and mutates system configuration via sysfs and novad IPC; provides real-time search across all setting toggles.</t>
        </is>
      </c>
      <c r="E14" s="8" t="inlineStr">
        <is>
          <t>Rust</t>
        </is>
      </c>
      <c r="F14" s="9" t="inlineStr">
        <is>
          <t>Planned</t>
        </is>
      </c>
      <c r="G14" s="6" t="inlineStr">
        <is>
          <t>Clean, modern alternative to legacy control panels; complete control over hardware, users, and personalization.</t>
        </is>
      </c>
    </row>
    <row r="15">
      <c r="A15" s="8" t="inlineStr">
        <is>
          <t>Month 5 - Desktop Experience</t>
        </is>
      </c>
      <c r="B15" s="7" t="inlineStr">
        <is>
          <t>Graphical Software Store &amp; Package Manager (nova-store)</t>
        </is>
      </c>
      <c r="C15" s="6" t="inlineStr">
        <is>
          <t>Build an app store combining Ubuntu Software Center and macOS App Store. Features categorized browsing (Development, Productivity, Utilities, Internet), search, screenshots, app descriptions, one-click install/update/remove, cryptographic GPG/Ed25519 package verification, and sandbox permission declaration.</t>
        </is>
      </c>
      <c r="D15" s="6" t="inlineStr">
        <is>
          <t>userland/desktop/apps/nova-store/src/main.rs and repo.rs. Fetches repository index over HTTPS; verifies package signatures before installation; manages dependency trees and uninstallation cleanup.</t>
        </is>
      </c>
      <c r="E15" s="8" t="inlineStr">
        <is>
          <t>Rust</t>
        </is>
      </c>
      <c r="F15" s="9" t="inlineStr">
        <is>
          <t>Planned</t>
        </is>
      </c>
      <c r="G15" s="6" t="inlineStr">
        <is>
          <t>Secure, discoverable application ecosystem; user-friendly one-click installation without terminal commands.</t>
        </is>
      </c>
    </row>
    <row r="16">
      <c r="A16" s="8" t="inlineStr">
        <is>
          <t>Month 5 - Desktop Experience</t>
        </is>
      </c>
      <c r="B16" s="7" t="inlineStr">
        <is>
          <t>Code &amp; Text Editor (nova-edit)</t>
        </is>
      </c>
      <c r="C16" s="6" t="inlineStr">
        <is>
          <t>Develop a fast, distraction-free code editor in pure Rust. Features syntax highlighting for Rust, C, Python, Markdown, Shell, and JSON; line numbers, code folding, multi-cursor editing, bracket matching, find and replace with regex, and project directory sidebar.</t>
        </is>
      </c>
      <c r="D16" s="6" t="inlineStr">
        <is>
          <t>userland/desktop/apps/nova-edit/src/main.rs and buffer.rs. Implements piece-table text buffer data structure for O(1) edits; supports multiple open file tabs; auto-saves modified files.</t>
        </is>
      </c>
      <c r="E16" s="8" t="inlineStr">
        <is>
          <t>Rust</t>
        </is>
      </c>
      <c r="F16" s="9" t="inlineStr">
        <is>
          <t>Planned</t>
        </is>
      </c>
      <c r="G16" s="6" t="inlineStr">
        <is>
          <t>Capable native programming and text editor; opens multi-megabyte files instantaneously with zero lag.</t>
        </is>
      </c>
    </row>
    <row r="17">
      <c r="A17" s="8" t="inlineStr">
        <is>
          <t>Month 5 - Desktop Experience</t>
        </is>
      </c>
      <c r="B17" s="7" t="inlineStr">
        <is>
          <t>Self-Contained Application Bundle Architecture (.app Bundles)</t>
        </is>
      </c>
      <c r="C17" s="6" t="inlineStr">
        <is>
          <t>Implement macOS-style application bundles (AppName.app). Directories containing Manifest.json (metadata, permissions, version, icon), bin/ (64-bit ELF binary), assets/ (icons, fonts, images), and lib/ (shared dependencies). Running or uninstalling an app requires simply copying or deleting its bundle.</t>
        </is>
      </c>
      <c r="D17" s="6" t="inlineStr">
        <is>
          <t>userland/libs/nova-bundle/src/lib.rs and userland/desktop/nova-shell/src/launcher.rs. Parsed by file manager and app launcher; sandboxed according to Manifest.json declared permissions; supports drag-and-drop installation.</t>
        </is>
      </c>
      <c r="E17" s="8" t="inlineStr">
        <is>
          <t>Rust</t>
        </is>
      </c>
      <c r="F17" s="9" t="inlineStr">
        <is>
          <t>Planned</t>
        </is>
      </c>
      <c r="G17" s="6" t="inlineStr">
        <is>
          <t>Completely solves dependency hell; drag-and-drop app installation and deletion; clean sandboxing metadata.</t>
        </is>
      </c>
    </row>
  </sheetData>
</worksheet>
</file>

<file path=xl/worksheets/sheet4.xml><?xml version="1.0" encoding="utf-8"?>
<worksheet xmlns="http://schemas.openxmlformats.org/spreadsheetml/2006/main">
  <sheetPr>
    <pageSetUpPr fitToPage="1"/>
  </sheetPr>
  <sheetViews>
    <sheetView workbookViewId="0">
      <pane ySplit="1" topLeftCell="A2" activePane="bottomLeft" state="frozen"/>
    </sheetView>
  </sheetViews>
  <sheetFormatPr defaultRowHeight="16.0" defaultColWidth="15.0"/>
  <cols>
    <col customWidth="1" min="1" max="1" width="26"/>
    <col customWidth="1" min="2" max="2" width="40"/>
    <col customWidth="1" min="3" max="3" width="54"/>
    <col customWidth="1" min="4" max="4" width="52"/>
    <col customWidth="1" min="5" max="5" width="14"/>
    <col customWidth="1" min="6" max="6" width="16"/>
    <col customWidth="1" min="7" max="7" width="44"/>
  </cols>
  <sheetData>
    <row r="1">
      <c r="A1" s="3" t="inlineStr">
        <is>
          <t>Month</t>
        </is>
      </c>
      <c r="B1" s="3" t="inlineStr">
        <is>
          <t>Task</t>
        </is>
      </c>
      <c r="C1" s="3" t="inlineStr">
        <is>
          <t>Description (purpose &amp; function)</t>
        </is>
      </c>
      <c r="D1" s="3" t="inlineStr">
        <is>
          <t>How to integrate into NovaOS</t>
        </is>
      </c>
      <c r="E1" s="4" t="inlineStr">
        <is>
          <t>Language</t>
        </is>
      </c>
      <c r="F1" s="4" t="inlineStr">
        <is>
          <t>Status</t>
        </is>
      </c>
      <c r="G1" s="3" t="inlineStr">
        <is>
          <t>Notes &amp; Verification Criteria</t>
        </is>
      </c>
    </row>
    <row r="2">
      <c r="A2" s="8" t="inlineStr">
        <is>
          <t>Month 3 - Server &amp; Containers</t>
        </is>
      </c>
      <c r="B2" s="7" t="inlineStr">
        <is>
          <t>Headless Server Kernel Profile &amp; NUMA-Aware Memory Tuning</t>
        </is>
      </c>
      <c r="C2" s="6" t="inlineStr">
        <is>
          <t>Build a specialized headless Server edition kernel configuration in Rust. Strips all GUI, display, and audio modules; enables NUMA-aware physical memory allocation, 2MB/1GB Huge Pages support, aggressive TCP buffer auto-tuning, and tickless idle scheduling for maximum cloud and bare-metal server throughput.</t>
        </is>
      </c>
      <c r="D2" s="6" t="inlineStr">
        <is>
          <t>kernel/src/config/server.rs and Makefile target kernel-server. Configures dedicated server kernel binary; optimizes page allocator for NUMA nodes; tunes network socket backlog to 4096.</t>
        </is>
      </c>
      <c r="E2" s="8" t="inlineStr">
        <is>
          <t>Rust</t>
        </is>
      </c>
      <c r="F2" s="9" t="inlineStr">
        <is>
          <t>Planned</t>
        </is>
      </c>
      <c r="G2" s="6" t="inlineStr">
        <is>
          <t>Boots in under 0.8 seconds; dedicates 99.5% of RAM to application workloads; passes enterprise high-throughput benchmarks.</t>
        </is>
      </c>
    </row>
    <row r="3">
      <c r="A3" s="8" t="inlineStr">
        <is>
          <t>Month 3 - Server &amp; Containers</t>
        </is>
      </c>
      <c r="B3" s="7" t="inlineStr">
        <is>
          <t>Kernel Namespaces (PID, Mount, Net, IPC, UTS, User)</t>
        </is>
      </c>
      <c r="C3" s="6" t="inlineStr">
        <is>
          <t>Implement comprehensive Linux-grade isolation namespaces in the Rust kernel: PID namespace (independent process ID numbering), Mount namespace (isolated file system tree and chroot jail), Network namespace (independent IP, loopback, routing table, firewall rules), IPC namespace (isolated shared memory and message queues), and UTS namespace (isolated hostname).</t>
        </is>
      </c>
      <c r="D3" s="6" t="inlineStr">
        <is>
          <t>kernel/src/security/namespace/mod.rs, syscall/unshare.rs, and syscall/setns.rs. Integrates clone(CLONE_NEWPID | CLONE_NEWNS | CLONE_NEWNET | CLONE_NEWIPC | CLONE_NEWUTS) flags into process manager.</t>
        </is>
      </c>
      <c r="E3" s="8" t="inlineStr">
        <is>
          <t>Rust</t>
        </is>
      </c>
      <c r="F3" s="9" t="inlineStr">
        <is>
          <t>Planned</t>
        </is>
      </c>
      <c r="G3" s="6" t="inlineStr">
        <is>
          <t>Fundamental building block for running lightweight, isolated containerized workloads securely.</t>
        </is>
      </c>
    </row>
    <row r="4">
      <c r="A4" s="8" t="inlineStr">
        <is>
          <t>Month 3 - Server &amp; Containers</t>
        </is>
      </c>
      <c r="B4" s="7" t="inlineStr">
        <is>
          <t>Control Groups v2 (cgroups v2) Resource Limiting Subsystem</t>
        </is>
      </c>
      <c r="C4" s="6" t="inlineStr">
        <is>
          <t>Implement a unified hierarchy Control Groups v2 subsystem in Rust. Provides granular per-group resource governance: memory limits with high/max watermarks and OOM killing; CPU bandwidth quotas (CFS bandwidth controller cpu.max); I/O throttling (io.max read/write bytes per second); and process count limits (pids.max).</t>
        </is>
      </c>
      <c r="D4" s="6" t="inlineStr">
        <is>
          <t>kernel/src/security/cgroups/v2.rs and kernel/src/fs/cgroupfs.rs. Mounts virtual filesystem at /sys/fs/cgroup; enforces memory.max and cpu.max on every scheduler quantum and page allocation.</t>
        </is>
      </c>
      <c r="E4" s="8" t="inlineStr">
        <is>
          <t>Rust</t>
        </is>
      </c>
      <c r="F4" s="9" t="inlineStr">
        <is>
          <t>Planned</t>
        </is>
      </c>
      <c r="G4" s="6" t="inlineStr">
        <is>
          <t>Prevents 'noisy neighbor' resource starvation; enforces enterprise multi-tenant container SLAs.</t>
        </is>
      </c>
    </row>
    <row r="5">
      <c r="A5" s="8" t="inlineStr">
        <is>
          <t>Month 3 - Server &amp; Containers</t>
        </is>
      </c>
      <c r="B5" s="7" t="inlineStr">
        <is>
          <t>Pure Rust Container Runtime Engine (novactl / novadock)</t>
        </is>
      </c>
      <c r="C5" s="6" t="inlineStr">
        <is>
          <t>Develop a lightweight, lightning-fast container runtime in pure Rust (novactl). Unpacks and runs container rootfs images (OCI compliant), configures namespaces and cgroup limits, sets up isolated loopback and veth virtual network interfaces, and launches containerized applications with zero hypervisor overhead.</t>
        </is>
      </c>
      <c r="D5" s="6" t="inlineStr">
        <is>
          <t>userland/server/novactl/src/main.rs and container.rs. Commands: novactl run --name &lt;name&gt; --memory 512M &lt;rootfs&gt;, novactl ps, novactl stop, novactl logs.</t>
        </is>
      </c>
      <c r="E5" s="8" t="inlineStr">
        <is>
          <t>Rust</t>
        </is>
      </c>
      <c r="F5" s="9" t="inlineStr">
        <is>
          <t>Planned</t>
        </is>
      </c>
      <c r="G5" s="6" t="inlineStr">
        <is>
          <t>Launches secure containers in under 50ms; compatible with standard OCI container rootfs bundles.</t>
        </is>
      </c>
    </row>
    <row r="6">
      <c r="A6" s="8" t="inlineStr">
        <is>
          <t>Month 3 - Server &amp; Containers</t>
        </is>
      </c>
      <c r="B6" s="7" t="inlineStr">
        <is>
          <t>Enterprise TCP Stack with Cubic &amp; BBR Congestion Control</t>
        </is>
      </c>
      <c r="C6" s="6" t="inlineStr">
        <is>
          <t>Upgrade the Rust TCP network stack to enterprise cloud standards. Implements RFC 8312 Cubic and BBR (Bottleneck Bandwidth and RTT) congestion control algorithms, Selective Acknowledgments (SACK - RFC 2018), TCP Window Scaling (RFC 7323), TCP SYN Cookies for SYN flood DDoS mitigation, and TCP Keepalive timers.</t>
        </is>
      </c>
      <c r="D6" s="6" t="inlineStr">
        <is>
          <t>kernel/src/net/tcp/cubic.rs, bbr.rs, and sack.rs. Integrated into kernel/rust/tcp.rs socket engine; dynamically tracks RTT and bottleneck bandwidth.</t>
        </is>
      </c>
      <c r="E6" s="8" t="inlineStr">
        <is>
          <t>Rust</t>
        </is>
      </c>
      <c r="F6" s="9" t="inlineStr">
        <is>
          <t>Planned</t>
        </is>
      </c>
      <c r="G6" s="6" t="inlineStr">
        <is>
          <t>Maximum throughput across high-bandwidth, high-latency WAN links; immune to SYN-flood denial of service attacks.</t>
        </is>
      </c>
    </row>
    <row r="7">
      <c r="A7" s="8" t="inlineStr">
        <is>
          <t>Month 3 - Server &amp; Containers</t>
        </is>
      </c>
      <c r="B7" s="7" t="inlineStr">
        <is>
          <t>Native In-Kernel WireGuard VPN Tunneling Engine</t>
        </is>
      </c>
      <c r="C7" s="6" t="inlineStr">
        <is>
          <t>Implement a high-speed, modern cryptographic VPN protocol directly in the Rust kernel based on the WireGuard specification (RFC-draft). Features Noise Protocol framework (Curve25519, ChaCha20-Poly1305, BLAKE2s), cryptokey routing, and automatic roaming across network interfaces.</t>
        </is>
      </c>
      <c r="D7" s="6" t="inlineStr">
        <is>
          <t>kernel/src/net/wireguard/mod.rs and noise.rs. Registers wg0 virtual network device; encapsulates encrypted UDP packets; configured via novactl wg set.</t>
        </is>
      </c>
      <c r="E7" s="8" t="inlineStr">
        <is>
          <t>Rust</t>
        </is>
      </c>
      <c r="F7" s="9" t="inlineStr">
        <is>
          <t>Planned</t>
        </is>
      </c>
      <c r="G7" s="6" t="inlineStr">
        <is>
          <t>Provides enterprise encrypted site-to-site and point-to-point mesh networking with 10x lower overhead than OpenVPN/IPsec.</t>
        </is>
      </c>
    </row>
    <row r="8">
      <c r="A8" s="8" t="inlineStr">
        <is>
          <t>Month 3 - Server &amp; Containers</t>
        </is>
      </c>
      <c r="B8" s="7" t="inlineStr">
        <is>
          <t>Stateful Packet-Filter Firewall with Connection Tracking (Conntrack)</t>
        </is>
      </c>
      <c r="C8" s="6" t="inlineStr">
        <is>
          <t>Build an advanced stateful firewall in Rust inspired by Linux nftables. Inspects packet headers, maintains an active connection state table (NEW, ESTABLISHED, RELATED, INVALID), performs Network Address Translation (SNAT / DNAT / Masquerade), and enforces rate-limiting against port scans.</t>
        </is>
      </c>
      <c r="D8" s="6" t="inlineStr">
        <is>
          <t>kernel/src/net/firewall/conntrack.rs and rules.rs. Intercepts incoming/outgoing IP packets; provides CLI tool novafw for declarative rule definition (/etc/novafw.conf).</t>
        </is>
      </c>
      <c r="E8" s="8" t="inlineStr">
        <is>
          <t>Rust</t>
        </is>
      </c>
      <c r="F8" s="9" t="inlineStr">
        <is>
          <t>Planned</t>
        </is>
      </c>
      <c r="G8" s="6" t="inlineStr">
        <is>
          <t>Enterprise boundary security; seamless NAT for container subnets; defense against syn-flood and port-scan reconnaissance.</t>
        </is>
      </c>
    </row>
    <row r="9">
      <c r="A9" s="8" t="inlineStr">
        <is>
          <t>Month 3 - Server &amp; Containers</t>
        </is>
      </c>
      <c r="B9" s="7" t="inlineStr">
        <is>
          <t>Pure Rust OpenSSH-Compatible SSH-2 Server Daemon (novasshd)</t>
        </is>
      </c>
      <c r="C9" s="6" t="inlineStr">
        <is>
          <t>Implement an enterprise-grade SSH-2 server daemon in pure Rust. Supports modern cryptographic key exchanges (curve25519-sha256), public-key authentication with ~/.ssh/authorized_keys (Ed25519 and RSA), authenticated encryption (chacha20-poly1305@openssh.com, aes256-gcm@openssh.com), interactive PTY shell sessions, and secure SCP/SFTP file transfers.</t>
        </is>
      </c>
      <c r="D9" s="6" t="inlineStr">
        <is>
          <t>userland/server/novasshd/src/main.rs, crypto.rs, and pty.rs. Runs as a background service listening on port 22; allocates pseudo-terminal master/slave pairs; integrates with system user authentication.</t>
        </is>
      </c>
      <c r="E9" s="8" t="inlineStr">
        <is>
          <t>Rust</t>
        </is>
      </c>
      <c r="F9" s="9" t="inlineStr">
        <is>
          <t>Planned</t>
        </is>
      </c>
      <c r="G9" s="6" t="inlineStr">
        <is>
          <t>Allows secure remote management from any Linux, macOS, or Windows terminal using standard ssh client; zero external dependencies.</t>
        </is>
      </c>
    </row>
    <row r="10">
      <c r="A10" s="8" t="inlineStr">
        <is>
          <t>Month 3 - Server &amp; Containers</t>
        </is>
      </c>
      <c r="B10" s="7" t="inlineStr">
        <is>
          <t>Systemd-Style Service &amp; Daemon Orchestrator (novad)</t>
        </is>
      </c>
      <c r="C10" s="6" t="inlineStr">
        <is>
          <t>Develop a modern service supervision and init system in Rust (novad) to replace the basic supervisor. Features declarative .service and .socket configuration units, dependency graph resolution with parallel startup (Requires=, After=), on-demand socket activation, health check watchdogs, automatic crash restart backoff, and graceful shutdown sequencing.</t>
        </is>
      </c>
      <c r="D10" s="6" t="inlineStr">
        <is>
          <t>userland/server/novad/src/main.rs, unit.rs, and graph.rs. Reads /etc/novad/system/*.service; manages PID 1 lifecycle; provides CLI tool novactl service start/stop/restart/status.</t>
        </is>
      </c>
      <c r="E10" s="8" t="inlineStr">
        <is>
          <t>Rust</t>
        </is>
      </c>
      <c r="F10" s="9" t="inlineStr">
        <is>
          <t>Planned</t>
        </is>
      </c>
      <c r="G10" s="6" t="inlineStr">
        <is>
          <t>Deterministic boot sequence; socket activation spins up services only when requested; automatic crash recovery with exponential backoff.</t>
        </is>
      </c>
    </row>
    <row r="11">
      <c r="A11" s="8" t="inlineStr">
        <is>
          <t>Month 3 - Server &amp; Containers</t>
        </is>
      </c>
      <c r="B11" s="7" t="inlineStr">
        <is>
          <t>Prometheus Telemetry Exporter &amp; Health Metrics Agent (novamon)</t>
        </is>
      </c>
      <c r="C11" s="6" t="inlineStr">
        <is>
          <t>Build a native system observability agent in pure Rust. Gathers real-time kernel telemetry (CPU core utilization, per-process memory RSS, disk read/write throughput, network packet rates, socket counts, thermal sensors) and exposes an HTTP /metrics endpoint formatted for Prometheus scraping and Grafana dashboards.</t>
        </is>
      </c>
      <c r="D11" s="6" t="inlineStr">
        <is>
          <t>userland/server/novamon/src/main.rs and collector.rs. Periodically samples /proc/stat, /proc/meminfo, /proc/net/dev; serves metrics on port 9100 with zero heap allocation per request.</t>
        </is>
      </c>
      <c r="E11" s="8" t="inlineStr">
        <is>
          <t>Rust</t>
        </is>
      </c>
      <c r="F11" s="9" t="inlineStr">
        <is>
          <t>Planned</t>
        </is>
      </c>
      <c r="G11" s="6" t="inlineStr">
        <is>
          <t>Instant integration with existing enterprise monitoring, alerting, and Grafana infrastructure.</t>
        </is>
      </c>
    </row>
    <row r="12">
      <c r="A12" s="8" t="inlineStr">
        <is>
          <t>Month 5 - Enterprise Storage</t>
        </is>
      </c>
      <c r="B12" s="7" t="inlineStr">
        <is>
          <t>Enterprise Multi-Disk Storage &amp; Software RAID Subsystem</t>
        </is>
      </c>
      <c r="C12" s="6" t="inlineStr">
        <is>
          <t>Implement software RAID (RAID 0, RAID 1 mirroring, RAID 10) and dynamic volume pooling in Rust (NovaVolume). Supports hot-plug disk detection, automatic background rebuilds on disk failure, and volume resizing across multiple physical NVMe/SATA drives.</t>
        </is>
      </c>
      <c r="D12" s="6" t="inlineStr">
        <is>
          <t>kernel/src/drivers/storage/raid.rs and userland/server/novactl/src/storage.rs. Combines multiple BlockDevice instances into a resilient virtual block device; manages superblock metadata and rebuild logs.</t>
        </is>
      </c>
      <c r="E12" s="8" t="inlineStr">
        <is>
          <t>Rust</t>
        </is>
      </c>
      <c r="F12" s="9" t="inlineStr">
        <is>
          <t>Planned</t>
        </is>
      </c>
      <c r="G12" s="6" t="inlineStr">
        <is>
          <t>Guarantees zero data loss and uninterrupted service when a physical storage drive fails.</t>
        </is>
      </c>
    </row>
    <row r="13">
      <c r="A13" s="8" t="inlineStr">
        <is>
          <t>Month 5 - Enterprise Storage</t>
        </is>
      </c>
      <c r="B13" s="7" t="inlineStr">
        <is>
          <t>Automated Unattended Security Updates with Atomic A/B Rollback</t>
        </is>
      </c>
      <c r="C13" s="6" t="inlineStr">
        <is>
          <t>Build a server-grade automated update engine in Rust. Fetches cryptographically signed OS delta packages over HTTPS, stages updates in an alternate boot slot (A/B partitioning), tests boot integrity via hardware watchdog, and automatically rolls back to the previous known-good state if boot fails.</t>
        </is>
      </c>
      <c r="D13" s="6" t="inlineStr">
        <is>
          <t>userland/server/novaupdate/src/main.rs and ab_boot.rs. Manages dual boot partitions (Slot A / Slot B); commits update only after post-boot self-tests pass; triggers watchdog reset and slot fallback on panic.</t>
        </is>
      </c>
      <c r="E13" s="8" t="inlineStr">
        <is>
          <t>Rust</t>
        </is>
      </c>
      <c r="F13" s="9" t="inlineStr">
        <is>
          <t>Planned</t>
        </is>
      </c>
      <c r="G13" s="6" t="inlineStr">
        <is>
          <t>Eliminates bricked servers; guarantees 99.999% availability during kernel and system updates.</t>
        </is>
      </c>
    </row>
  </sheetData>
</worksheet>
</file>

<file path=xl/worksheets/sheet5.xml><?xml version="1.0" encoding="utf-8"?>
<worksheet xmlns="http://schemas.openxmlformats.org/spreadsheetml/2006/main">
  <sheetPr>
    <pageSetUpPr fitToPage="1"/>
  </sheetPr>
  <sheetViews>
    <sheetView workbookViewId="0">
      <pane ySplit="1" topLeftCell="A2" activePane="bottomLeft" state="frozen"/>
    </sheetView>
  </sheetViews>
  <sheetFormatPr defaultRowHeight="16.0" defaultColWidth="15.0"/>
  <cols>
    <col customWidth="1" min="1" max="1" width="26"/>
    <col customWidth="1" min="2" max="2" width="40"/>
    <col customWidth="1" min="3" max="3" width="54"/>
    <col customWidth="1" min="4" max="4" width="52"/>
    <col customWidth="1" min="5" max="5" width="16"/>
    <col customWidth="1" min="6" max="6" width="16"/>
    <col customWidth="1" min="7" max="7" width="44"/>
  </cols>
  <sheetData>
    <row r="1">
      <c r="A1" s="3" t="inlineStr">
        <is>
          <t>Month</t>
        </is>
      </c>
      <c r="B1" s="3" t="inlineStr">
        <is>
          <t>Task</t>
        </is>
      </c>
      <c r="C1" s="3" t="inlineStr">
        <is>
          <t>Description (purpose &amp; function)</t>
        </is>
      </c>
      <c r="D1" s="3" t="inlineStr">
        <is>
          <t>How to integrate into NovaOS</t>
        </is>
      </c>
      <c r="E1" s="4" t="inlineStr">
        <is>
          <t>Language</t>
        </is>
      </c>
      <c r="F1" s="4" t="inlineStr">
        <is>
          <t>Status</t>
        </is>
      </c>
      <c r="G1" s="3" t="inlineStr">
        <is>
          <t>Notes &amp; Verification Criteria</t>
        </is>
      </c>
    </row>
    <row r="2">
      <c r="A2" s="8" t="inlineStr">
        <is>
          <t>Month 6 - Release Hardening</t>
        </is>
      </c>
      <c r="B2" s="7" t="inlineStr">
        <is>
          <t>Automated CI/CD Qualification &amp; Test Matrix Runner</t>
        </is>
      </c>
      <c r="C2" s="6" t="inlineStr">
        <is>
          <t>Expand the automated test suite into an enterprise continuous integration pipeline. Runs headless QEMU instances in parallel across Desktop and Server edition builds, executing 600+ validation assertions covering kernel paging, SMP scheduling, NVMe read/write, container isolation, SSH handshakes, and UI compositing.</t>
        </is>
      </c>
      <c r="D2" s="6" t="inlineStr">
        <is>
          <t>tools/ci/test_matrix.py and Makefile target test-matrix. Executes headless boot matrix; verifies kernel assertions over serial console; captures frame buffers for pixel-diff regression tests.</t>
        </is>
      </c>
      <c r="E2" s="8" t="inlineStr">
        <is>
          <t>Python &amp; Shell</t>
        </is>
      </c>
      <c r="F2" s="9" t="inlineStr">
        <is>
          <t>Planned</t>
        </is>
      </c>
      <c r="G2" s="6" t="inlineStr">
        <is>
          <t>100% automated regression defense across all 54 milestones; zero broken builds; comprehensive assertion logging.</t>
        </is>
      </c>
    </row>
    <row r="3">
      <c r="A3" s="8" t="inlineStr">
        <is>
          <t>Month 6 - Release Hardening</t>
        </is>
      </c>
      <c r="B3" s="7" t="inlineStr">
        <is>
          <t>Dual-Edition Release Packaging (Desktop ISO &amp; Server ISO)</t>
        </is>
      </c>
      <c r="C3" s="6" t="inlineStr">
        <is>
          <t>Create production-grade automated release packaging pipelines for both target editions: 1) novaos-desktop-2.0.iso (Hybrid UEFI/BIOS bootable installer containing the full Wayland compositor, Fluent/macOS shell, and complete desktop app suite); 2) novaos-server-2.0.iso (Optimized headless server image with SSH, container engine, and cloud-init bootstrap).</t>
        </is>
      </c>
      <c r="D3" s="6" t="inlineStr">
        <is>
          <t>tools/release/build_release_images.sh and Makefile target release-2.0. Generates partitioned hybrid ISO/IMG images with GPT; signs binaries with SHA-256 and release GPG keys.</t>
        </is>
      </c>
      <c r="E3" s="8" t="inlineStr">
        <is>
          <t>Rust &amp; Shell</t>
        </is>
      </c>
      <c r="F3" s="9" t="inlineStr">
        <is>
          <t>Planned</t>
        </is>
      </c>
      <c r="G3" s="6" t="inlineStr">
        <is>
          <t>Production-ready distribution media; bootable on physical flash drives, CDs, and cloud hypervisors.</t>
        </is>
      </c>
    </row>
    <row r="4">
      <c r="A4" s="8" t="inlineStr">
        <is>
          <t>Month 6 - Release Hardening</t>
        </is>
      </c>
      <c r="B4" s="7" t="inlineStr">
        <is>
          <t>Enterprise Security Audit &amp; Common Criteria / FIPS-140 Hardening</t>
        </is>
      </c>
      <c r="C4" s="6" t="inlineStr">
        <is>
          <t>Perform a comprehensive cross-track security audit across all kernel syscalls, capability boundaries, and userland daemons. Enforces mandatory memory zeroization of cryptographic secrets, stack canary protection, KASLR (Kernel Address Space Layout Randomization), and strict non-root privilege drop verification.</t>
        </is>
      </c>
      <c r="D4" s="6" t="inlineStr">
        <is>
          <t>kernel/src/security/audit.rs and docs/SECURITY_AUDIT_V2.0.md. Implements kernel hardening checks; verifies crypto modules use constant-time operations; checks non-root privilege drop on all user daemons.</t>
        </is>
      </c>
      <c r="E4" s="8" t="inlineStr">
        <is>
          <t>Rust &amp; Docs</t>
        </is>
      </c>
      <c r="F4" s="9" t="inlineStr">
        <is>
          <t>Planned</t>
        </is>
      </c>
      <c r="G4" s="6" t="inlineStr">
        <is>
          <t>Hardened against privilege escalation and side-channel leakage; Common Criteria EAL4 evaluation readiness.</t>
        </is>
      </c>
    </row>
    <row r="5">
      <c r="A5" s="8" t="inlineStr">
        <is>
          <t>Month 6 - Release Hardening</t>
        </is>
      </c>
      <c r="B5" s="7" t="inlineStr">
        <is>
          <t>Developer SDK &amp; Userland Application Framework (novaos-sdk)</t>
        </is>
      </c>
      <c r="C5" s="6" t="inlineStr">
        <is>
          <t>Release the official NovaOS Developer SDK in pure Rust. Includes project templates (cargo new --template nova-app), bindings for nova-ui, IPC event handling, file access APIs, build scripts for packaging .app bundles, and an emulator runner for rapid app development on host machines.</t>
        </is>
      </c>
      <c r="D5" s="6" t="inlineStr">
        <is>
          <t>sdk/novaos-sdk/ and sdk/templates/. Distributes cargo-nova CLI tool; provides documentation and sample apps for community developers.</t>
        </is>
      </c>
      <c r="E5" s="8" t="inlineStr">
        <is>
          <t>Rust</t>
        </is>
      </c>
      <c r="F5" s="9" t="inlineStr">
        <is>
          <t>Planned</t>
        </is>
      </c>
      <c r="G5" s="6" t="inlineStr">
        <is>
          <t>Empowers developers to build high-performance, native GUI and CLI apps for NovaOS with modern Rust tooling.</t>
        </is>
      </c>
    </row>
    <row r="6">
      <c r="A6" s="8" t="inlineStr">
        <is>
          <t>Month 6 - Release Hardening</t>
        </is>
      </c>
      <c r="B6" s="7" t="inlineStr">
        <is>
          <t>High-Resolution Display Scaling (HiDPI / Retina Support)</t>
        </is>
      </c>
      <c r="C6" s="6" t="inlineStr">
        <is>
          <t>Implement dynamic display scaling (100%, 125%, 150%, 200%) across the entire desktop rendering pipeline. Automatically detects display physical DPI via EDID, scales font metrics, vector icons, and UI padding proportionally, ensuring pixel-perfect sharpness on 1080p, 2K, and 4K monitors.</t>
        </is>
      </c>
      <c r="D6" s="6" t="inlineStr">
        <is>
          <t>userland/desktop/nova-compositor/src/scale.rs and userland/libs/nova-ui/src/dpi.rs. Computes scale factor based on physical monitor width and native resolution; renders vector assets at native device pixels.</t>
        </is>
      </c>
      <c r="E6" s="8" t="inlineStr">
        <is>
          <t>Rust</t>
        </is>
      </c>
      <c r="F6" s="9" t="inlineStr">
        <is>
          <t>Planned</t>
        </is>
      </c>
      <c r="G6" s="6" t="inlineStr">
        <is>
          <t>Flawless visual clarity on 4K monitors, laptops, and ultra-wide displays; identical crispness to macOS Retina.</t>
        </is>
      </c>
    </row>
    <row r="7">
      <c r="A7" s="8" t="inlineStr">
        <is>
          <t>Month 6 - Release Hardening</t>
        </is>
      </c>
      <c r="B7" s="7" t="inlineStr">
        <is>
          <t>Cloud-Init &amp; Headless Server Automated Provisioning</t>
        </is>
      </c>
      <c r="C7" s="6" t="inlineStr">
        <is>
          <t>Implement cloud-init support for NovaOS Server. Automatically reads cloud metadata and user-data configurations on first boot (network interfaces, static IPs, SSH authorized keys, hostname, pre-installed services), allowing instant deployment on OpenStack, Proxmox, and cloud virtualized environments.</t>
        </is>
      </c>
      <c r="D7" s="6" t="inlineStr">
        <is>
          <t>userland/server/novainit/src/cloud_init.rs. Reads /var/lib/cloud/seed or config-drive; provisions root credentials and SSH keys without manual interaction.</t>
        </is>
      </c>
      <c r="E7" s="8" t="inlineStr">
        <is>
          <t>Rust</t>
        </is>
      </c>
      <c r="F7" s="9" t="inlineStr">
        <is>
          <t>Planned</t>
        </is>
      </c>
      <c r="G7" s="6" t="inlineStr">
        <is>
          <t>Seamless integration into cloud orchestration pipelines (Terraform, Ansible, Kubernetes bare-metal nodes).</t>
        </is>
      </c>
    </row>
    <row r="8">
      <c r="A8" s="8" t="inlineStr">
        <is>
          <t>Month 6 - Release Hardening</t>
        </is>
      </c>
      <c r="B8" s="7" t="inlineStr">
        <is>
          <t>Production Graphical Installer (nova-installer)</t>
        </is>
      </c>
      <c r="C8" s="6" t="inlineStr">
        <is>
          <t>Develop a polished, user-friendly graphical installer for NovaOS Desktop. Features drive partitioning wizard (automatic guided partitioning or custom manual partitioning with GPT), user account creation with password hashing, timezone selection, desktop preview, and progress bar with animated slide showcase.</t>
        </is>
      </c>
      <c r="D8" s="6" t="inlineStr">
        <is>
          <t>userland/desktop/apps/nova-installer/src/main.rs and partition_wizard.rs. Formats target drive with GPT and NovaFS; unpacks system rootfs; installs UEFI bootloader; guides user through initial setup.</t>
        </is>
      </c>
      <c r="E8" s="8" t="inlineStr">
        <is>
          <t>Rust</t>
        </is>
      </c>
      <c r="F8" s="9" t="inlineStr">
        <is>
          <t>Planned</t>
        </is>
      </c>
      <c r="G8" s="6" t="inlineStr">
        <is>
          <t>Intuitive, beginner-friendly setup experience on par with Ubuntu Ubiquity and Windows 11 Out-of-Box Experience (OOBE).</t>
        </is>
      </c>
    </row>
    <row r="9">
      <c r="A9" s="8" t="inlineStr">
        <is>
          <t>Month 6 - Release Hardening</t>
        </is>
      </c>
      <c r="B9" s="7" t="inlineStr">
        <is>
          <t>System Recovery Environment &amp; Snapshot Rollback Mode</t>
        </is>
      </c>
      <c r="C9" s="6" t="inlineStr">
        <is>
          <t>Implement a standalone emergency boot environment (NovaOS Recovery). Bootable from UEFI boot menu or on boot failure, allowing operators to restore previous filesystem snapshots, reset root passwords, inspect system logs, and repair damaged boot sectors.</t>
        </is>
      </c>
      <c r="D9" s="6" t="inlineStr">
        <is>
          <t>kernel/src/boot/recovery.rs and userland/desktop/apps/nova-recovery/src/main.rs. Provides minimal GUI and CLI rescue console; lists available NovaFS snapshots with one-click restore.</t>
        </is>
      </c>
      <c r="E9" s="8" t="inlineStr">
        <is>
          <t>Rust</t>
        </is>
      </c>
      <c r="F9" s="9" t="inlineStr">
        <is>
          <t>Planned</t>
        </is>
      </c>
      <c r="G9" s="6" t="inlineStr">
        <is>
          <t>Enterprise business continuity; instant recovery from corrupted configurations or unbootable updates.</t>
        </is>
      </c>
    </row>
    <row r="10">
      <c r="A10" s="8" t="inlineStr">
        <is>
          <t>Month 6 - Release Hardening</t>
        </is>
      </c>
      <c r="B10" s="7" t="inlineStr">
        <is>
          <t>Complete Enterprise Documentation &amp; Architecture Manuals</t>
        </is>
      </c>
      <c r="C10" s="6" t="inlineStr">
        <is>
          <t>Author comprehensive technical documentation: 1) NovaOS Architecture Specification; 2) Kernel Internals &amp; Syscall ABI Manual; 3) Desktop User &amp; Customization Guide; 4) Server Administration &amp; Container Deployment Handbook; 5) Developer SDK Reference Guide.</t>
        </is>
      </c>
      <c r="D10" s="6" t="inlineStr">
        <is>
          <t>docs/v2.0/ and deployment to official documentation portal. Full markdown manuals with diagrams, API signatures, CLI command cheat sheets, and tutorials.</t>
        </is>
      </c>
      <c r="E10" s="8" t="inlineStr">
        <is>
          <t>Markdown</t>
        </is>
      </c>
      <c r="F10" s="9" t="inlineStr">
        <is>
          <t>Planned</t>
        </is>
      </c>
      <c r="G10" s="6" t="inlineStr">
        <is>
          <t>Professional enterprise documentation set for system administrators, kernel developers, and application creators.</t>
        </is>
      </c>
    </row>
    <row r="11">
      <c r="A11" s="8" t="inlineStr">
        <is>
          <t>Month 6 - Release Hardening</t>
        </is>
      </c>
      <c r="B11" s="7" t="inlineStr">
        <is>
          <t>Final Production Qualification, Sign-Off &amp; v2.0 Release Launch</t>
        </is>
      </c>
      <c r="C11" s="6" t="inlineStr">
        <is>
          <t>Execute final qualification sign-off protocol. Verify 100% test pass rate across Desktop and Server editions, sign all binary release images with official release GPG keys, publish release artifacts, changelog, and announce NovaOS 2.0 General Availability (GA).</t>
        </is>
      </c>
      <c r="D11" s="6" t="inlineStr">
        <is>
          <t>tools/release/final_signoff_v2.0.sh and release/v2.0.0/. Performs final checksum verification; validates SHA256SUMS and GPG detached signatures; publishes release notes.</t>
        </is>
      </c>
      <c r="E11" s="8" t="inlineStr">
        <is>
          <t>Shell, Rust &amp; Docs</t>
        </is>
      </c>
      <c r="F11" s="9" t="inlineStr">
        <is>
          <t>Planned</t>
        </is>
      </c>
      <c r="G11" s="6" t="inlineStr">
        <is>
          <t>Culmination of 6-month roadmap; full enterprise-grade release ready for general production deployment.</t>
        </is>
      </c>
    </row>
  </sheetData>
</worksheet>
</file>