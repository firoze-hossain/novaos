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<sst xmlns="http://schemas.openxmlformats.org/spreadsheetml/2006/main" count="237" uniqueCount="237">
  <si>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</si>
  <si>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</si>
  <si>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</si>
  <si>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</si>
  <si>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</si>
  <si>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</si>
  <si>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</si>
  <si>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</si>
  <si>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</si>
  <si>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</si>
  <si>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</si>
  <si>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</si>
  <si>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</si>
  <si>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</si>
  <si>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</si>
  <si>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</si>
  <si>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</si>
  <si>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</si>
  <si>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</si>
  <si>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</si>
  <si>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</si>
  <si>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</si>
  <si>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</si>
  <si>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</si>
  <si>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</si>
  <si>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</si>
  <si>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</si>
  <si>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</si>
  <si>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</si>
  <si>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</si>
  <si>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</si>
  <si>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</si>
  <si>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</si>
  <si>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</si>
  <si>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</si>
  <si>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</si>
  <si>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</si>
  <si>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</si>
  <si>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</si>
  <si>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</si>
  <si>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</si>
  <si>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</si>
  <si>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</si>
  <si>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</si>
  <si>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</si>
  <si>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</si>
  <si>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</si>
  <si>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</si>
  <si>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</si>
  <si>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</si>
  <si>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</si>
  <si>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</si>
  <si>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</si>
  <si>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</si>
  <si>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</si>
  <si>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</si>
  <si>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</si>
  <si>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</si>
  <si>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</si>
  <si>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</si>
  <si>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</si>
  <si>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</si>
  <si>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</si>
  <si>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</si>
  <si>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</si>
  <si>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</si>
  <si>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</si>
  <si>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</si>
  <si>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</si>
  <si>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</si>
  <si>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</si>
  <si>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</si>
  <si>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</si>
  <si>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</si>
  <si>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</si>
  <si>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</si>
  <si>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</si>
  <si>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</si>
  <si>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</si>
  <si>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</si>
  <si>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</si>
  <si>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</si>
  <si>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</si>
  <si>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</si>
  <si>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</si>
  <si>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</si>
  <si>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</si>
  <si>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</si>
  <si>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</si>
  <si>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</si>
  <si>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</si>
  <si>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</si>
  <si>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</si>
  <si>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</si>
  <si>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</si>
  <si>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</si>
  <si>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</si>
  <si>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</si>
  <si>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</si>
  <si>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</si>
  <si>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</si>
  <si>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</si>
  <si>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</si>
  <si>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</si>
  <si>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</si>
  <si>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</si>
  <si>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</si>
  <si>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</si>
  <si>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</si>
  <si>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</si>
  <si>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</si>
  <si>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</si>
  <si>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</si>
  <si>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</si>
  <si>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</si>
  <si>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</si>
  <si>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</si>
  <si>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</si>
  <si>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</si>
  <si>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</si>
  <si>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</si>
  <si>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</si>
  <si>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</si>
  <si>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</si>
  <si>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</si>
  <si>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</si>
  <si>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</si>
  <si>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</si>
  <si>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</si>
  <si>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</si>
  <si>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</si>
  <si>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</si>
  <si>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</si>
  <si>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</si>
  <si>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</si>
  <si>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</si>
  <si>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</si>
  <si>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</si>
  <si>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</si>
  <si>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</si>
  <si>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</si>
  <si>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</si>
  <si>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</si>
  <si>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</si>
  <si>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</si>
  <si>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</si>
  <si>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</si>
  <si>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</si>
  <si>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</si>
  <si>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</si>
  <si>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</si>
  <si>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</si>
  <si>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</si>
  <si>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</si>
  <si>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</si>
  <si>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</si>
  <si>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</si>
  <si>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</si>
  <si>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</si>
  <si>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</si>
  <si>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</si>
  <si>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</si>
  <si>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</si>
  <si>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</si>
  <si>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</si>
  <si>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</si>
  <si>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</si>
  <si>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</si>
  <si>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</si>
  <si>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</si>
  <si>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</si>
  <si>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</si>
  <si>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</si>
  <si>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</si>
  <si>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</si>
  <si>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</si>
  <si>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</si>
  <si>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</si>
  <si>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</si>
  <si>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</si>
  <si>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</si>
  <si>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</si>
  <si>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</si>
  <si>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</si>
  <si>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</si>
  <si>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</si>
  <si>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</si>
  <si>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</si>
  <si>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</si>
  <si>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</si>
  <si>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</si>
  <si>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</si>
  <si>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</si>
  <si>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</si>
  <si>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</si>
  <si>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</si>
  <si>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</si>
  <si>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</si>
  <si>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</si>
  <si>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</si>
  <si>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</si>
  <si>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</si>
  <si>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</si>
  <si>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</si>
  <si>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</si>
  <si>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</si>
  <si>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</si>
  <si>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</si>
  <si>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</si>
  <si>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</si>
  <si>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</si>
  <si>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</si>
  <si>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</si>
  <si>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</si>
  <si>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</si>
  <si>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</si>
  <si>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</si>
  <si>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</si>
  <si>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</si>
  <si>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</si>
  <si>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</si>
  <si>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</si>
  <si>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</si>
  <si>
    <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t>
  </si>
  <si>
    <t>NovaOS Graphical Activity &amp; Performance Monitor App (userland/actmon-rs/actmon.rs, ffi.rs, build.sh, ACTMON.ELF, SYSINFO.ELF, userland/libc/include/nova_proc_abi.h, kernel/rust/procman.rs). Pure #![no_std] ring-3 graphical system activity monitor querying scheduler state and physical memory telemetry via dedicated syscall SYS_PROC_INFO (84) supporting NOVA_PROC_OP_GET_SYSINFO, NOVA_PROC_OP_GET_TABLE, and NOVA_PROC_OP_GET_ENTRY. Features a 4-view tabbed interface ([Processes], [CPU &amp; Performance], [Memory &amp; System], [System Info]), real-time telemetry banner cards (CPU usage gauge with live sparkline trend, physical memory gauge with used/total MB and percentage, process count breakdown across Total/Running/User/Kernel, and SMP active cores), 4 category filter chips (All, Apps (User), Kernel Tasks, Active (&gt;0%)), real-time substring search filtering, interactive column sorting (PID, Name, CPU %, Memory footprint), detailed process inspector card (PID, Name, execution state, security context UID/GID, memory pages, heap allocation, CPU ticks, window quota usage %), and responsive status bar with live summary. Rasterized directly onto BufferSurface32 without per-pixel syscall overhead, backed entirely by static BSS buffers guaranteeing 0-byte stack exhaustion within the 16KB userland stack budget. Verified via make actmon-test (10 host tests: 4 kernel + 6 app) and automated QEMU boot test.</t>
  </si>
  <si>
    <t>NovaOS Global Accessibility Architecture &amp; Display Panel (userland/ui-rs/src/access.rs, color.rs, cursor.rs, font.rs, lib.rs, userland/wm-rs/wm.rs, ffi.rs, WM.ELF, userland/settings-rs/settings.rs, SETTINGS.ELF, tools/fixtures/ACCESS.CFG). Pure #![no_std] global accessibility subsystem supporting dynamic typography scaling and high-contrast visuals for low-vision accessibility. Features 4 font scaling tiers (Normal 100%, Medium 125%, Large 150%, Extra Large 200%) dynamically resizing line heights, character advances, and glyph metrics, Theme::HighContrast palette conforming to WCAG 2.1 AAA contrast ratios (&gt;7.0:1 text, pure #000000 background, pure #FFFFFF text and active titlebars, #FFFF00 focus rings, bold accents, disabled drop shadows, and 2px window borders), and high-visibility cursor (CursorTheme::HighContrast with bright yellow #FFFF00 interior and pure black outline). Fully integrated into the window manager (Wm::apply_accessibility_config, set_font_scale, set_theme) dynamically scaling titlebars, menubars, and taskbars, and into the Settings application (PanelKind::Display 'Display &amp; Accessibility') with live typography preview cards, font scale buttons, high-contrast toggle, cursor style cycler, and 64-byte persistent binary configuration (ACCESS.CFG with NVAC magic and 16-bit CRC checksum). Zero per-pixel syscall overhead rasterized directly onto BufferSurface32 and backed by static BSS memory within the 16KB userland stack budget. Verified via make ui-test (23 tests), make wm-test (10 tests), make settings-test (21 tests), and automated QEMU boot test.</t>
  </si>
  <si>
    <t>NovaOS Multi-Window Snapping Polish &amp; Tiling Subsystem (userland/wm-rs/wm.rs, ffi.rs, WM.ELF, userland/ui-rs/src/menu.rs). Pure #![no_std] refined window snapping and tiling engine featuring expanded SnapState (Normal, Left, Right, Maximize, TopLeft, TopRight, BottomLeft, BottomRight), panel-aware WorkArea and multi-monitor-ready MonitorGeometry abstractions respecting top menubar (y=24) and bottom taskbar (y=732), smoother edges with gapless non-overlapping quadrant and half coverage, interactive snap preview ghost outline overlay with accent stroke, titlebar Maximize button toggle ('[]') with floating pre_snap geometry preservation, proportional cursor placement on un-snap preventing abrupt jumps, double-click titlebar maximize toggle, automated tiling modes (TileMode::SideBySide, Grid2x2, Cascade), and menu action dispatch (ACTION_WINDOW_SNAP_LEFT/RIGHT/TOP_LEFT/TOP_RIGHT/BOTTOM_LEFT/BOTTOM_RIGHT/RESTORE/TILE_GRID/CASCADE). Fully verified via make wm-test (17 host tests) and automated QEMU boot test.</t>
  </si>
  <si>
    <t>NovaOS Graphical Installer Flow (userland/installer-rs/installer.rs, ffi.rs, crypto.rs, build.sh, tools/fixtures/INSTALL.ELF). Pure #![no_std] ring-3 graphical installer wizard walking the user through live OS installation. Features a 6-step guided wizard state machine: 1) Welcome &amp; System Overview with live hardware autodetection (x86 32-bit SMP cores, physical RAM, ATA/VirtIO/NVMe block devices, VESA linear framebuffer) and hardware prerequisite validation; 2) Target Disk Selection &amp; Partition Layout with block device selector (/dev/ata0, /dev/vda, /dev/nvme0n1), partition presets (Standard 64/32/4/1 MB, Minimal 32/16/2/1 MB, Workstation 128/64/8/2 MB), proportional visual color-coded partition bar gauge, and SYS_DISK_INSTALL dry-run geometry validation; 3) User Account &amp; System Configuration with hostname input (novaos), administrator username (admin), password masking with confirmation matching and strength scoring, pure #![no_std] PBKDF2-HMAC-SHA256 password hashing with random salt synthesis for USERS.CFG (NVUS magic), initial SYSTEM.CFG generation (NVCF magic), and default desktop session selector (WM.ELF vs SHELL.ELF); 4) Summary &amp; Pre-Install Confirmation reviewing complete blueprint with prominent caution warning and authorization safety toggle; 5) Live Installation Progress engine driving SYS_DISK_INSTALL with animated 0-100% progress bar, stage indicator checklists, and live scrolling status log; 6) Installation Success completion screen with completion badge, summary metrics, and [Reboot System] / [Quit to Shell] actions. Direct BufferSurface32 rendering with zero per-pixel syscalls, backed by static BSS memory within the 16KB userland stack limit. Includes kernel FAT32 cluster allocator optimization in kernel/fs/fat32.c eliminating sector scan I/O bottleneck. Verified via make installer-test (10 host tests) and automated QEMU boot test (265/265 assertions passing).</t>
  </si>
  <si>
    <t>NovaOS Graphical Crash Reporter &amp; Diagnostic Inspector (userland/crashrep-rs/crashrep.rs, parser.rs, ffi.rs, build.sh, tools/fixtures/CRASHREP.ELF, tools/fixtures/CRASH.ELF). Pure #![no_std] ring-3 graphical problem reporter and crash dump inspector shown automatically at boot or on-demand when a pending panic record is found on disk (/CRASHDMP.TXT and /CRASHDMP.DAT). Features: 1) Prominent Critical Alert banner card and window frame with problem diagnosis; 2) 4-tab interactive navigation across Overview (reason, exception vector, faulting EIP, CR2 fault address, error code, and failure assessment), CPU Registers (full 16-register CPU snapshot with EIP/CR2/INT_NO highlighting and EFLAGS decoding), Call Stack (EBP frame backtrace chain with symbolic module classifications across kernel init, paging, VFS, drivers, and userland), and Raw Report (scrollable monospace view of /CRASHDMP.TXT with line numbers); 3) Bottom action toolbar with [Dismiss], [Clear Record] driving SYS_CRASHDUMP_CTL (80) op 4, and [Reboot]; 4) Zero-syscall BufferSurface32 direct rasterization backed entirely by static BSS buffers within the 16KB userland stack budget; 5) Integrated boot notice and interactive commands ('crash', 'crash gui') in userland/shell/shell.c and userland/ring3-shell/shell.c. Verified via make crashrep-test (9 host tests) and automated QEMU boot test (270/270 assertions passing).</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</si>
  <si>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</si>
  <si>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</si>
  <si>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First-Run Setup Wizard (userland/firstrun-rs/firstrun.rs, crypto.rs, ffi.rs, build.sh, tools/fixtures/FIRSTRUN.ELF, tools/fixtures/SETUP.ELF). Pure #![no_std] ring-3 graphical first-run setup wizard extending the original firstrun.c architecture into a modern multi-step guided setup flow. Features: 1) Hardware telemetry &amp; welcome view (CPU vendor/model/cores, RAM capacity, detected storage media, network adapters); 2) Machine identity configuration (hostname validation, init executable selection, SYSTEM.CFG serialization with 'NVCF' magic); 3) Primary administrator account setup (UID 0 / GID 0, real RFC 8018 PBKDF2-HMAC-SHA256 hashing with 4096 iterations, cryptographic salt derivation, USERS.CFG serialization with 'NVUS' magic); 4) Network configuration (DHCP vs static IPv4 address/gateway/DNS, stateful firewall policy generation, FIREWALL.CFG serialization); 5) Visual preferences &amp; accessibility (Theme selection [Dark, Light, HighContrast], font scaling [100%, 125%, 150%, 200%], cursor themes [White, Amber, Retro], ACCESS.CFG persistence with CRC checksum); 6) Review &amp; deployment summary with progressive atomic writing of all configuration files; 7) Setup completion view offering direct launch of the Graphical Desktop (WM.ELF) or Developer Shell (SHELL.ELF); 8) Zero-syscall BufferSurface32 rasterization adhering to the 16KB userland stack budget by utilizing static BSS memory. Verified via make firstrun-test (8 host unit tests) and automated QEMU boot test.</t>
  </si>
  <si>
    <t>NovaOS Full UI QA Pass &amp; End-User Documentation (tools/tests/run_ui_qa_pass.sh, make ui-qa, docs/USER_GUIDE.md, RozeHub Documentation Database &amp; Local Server). Completed comprehensive QA testing pass verifying all 13 ring-3 applications and graphical subsystems developed across Months 1-6: 1) Shared UI Design System (userland/ui-rs - 23 host unit tests); 2) Window Manager &amp; Compositor with 8-zone snapping and tiling (userland/wm-rs - 17 host tests); 3) File Manager (userland/files-rs - 4 host tests); 4) In-Window Terminal Emulator (userland/term-rs - 5 host tests); 5) Monospace Text Editor (userland/edit-rs - 5 host tests); 6) Software Store &amp; Package Manager (userland/store-rs - 6 host tests); 7) Settings Shell &amp; Admin Panels (userland/settings-rs - 24 host tests); 8) Graphical Login &amp; Session Manager (userland/login-rs - 6 host tests); 9) Structured Kernel Log Viewer (userland/klog-rs - 12 host tests); 10) Activity Monitor &amp; Resource Meters (userland/actmon-rs - 10 host tests); 11) Graphical Installer Wizard (userland/installer-rs - 10 host tests); 12) Graphical Crash Reporter (userland/crashrep-rs - 9 host tests); 13) First-Run Setup Wizard (userland/firstrun-rs - 10 host tests). Total: 141 UI unit tests passing across all 13 modules with 100% pass rate. Authored complete, authoritative 8-chapter End-User Manual (docs/USER_GUIDE.md) and seeded comprehensive production documentation into RozeHub with 8 sections and 21 pages, running live on http://127.0.0.1:8000/docs/novaos. Verified via make ui-qa and automated QEMU boot test (275/275 assertions passing).</t>
  </si>
  <si>
    <t>Comprehensive Automated Boot-Time Test Suite Expansion (tools/python/test_runner.py, test: target in Makefile). Maintained and extended NovaOS's strict 'verify, don't assume' discipline by expanding the structured Python test runner to cover every single feature across both Kernel and Interface tracks as they landed. Added 42 new granular assertions across core hardware, kernel subsystems, and all 13 ring-3 applications, scaling the suite from 275 to 317 total automated assertions with 100% pass rate: 1) Kernel foundation &amp; hardware: interrupt gate 0x80 installation with DPL 3, 8254 PIT timer 100 Hz calibration, PS/2 mouse IRQ12 packet streaming, ATA LBA28 PIO detection, ACPI MADT 2-core SMP verification, ACPI S5 shutdown control block discovery, in-kernel DNS UDP resolution, FAT32 write-ahead journal clean recovery, journal self-test atomicity/replay, and crash dump auto-export; 2) Month 3 Core apps: File Manager (files_metadata, files_hit_testing, files_preview, files_move_delete, files_rendering), Terminal (term_grid, term_wrap, term_ansi, term_history, term_dispatch, term_rendering), Text Editor (edit_buffer, edit_backspace, edit_vfs_io, edit_font_modes, edit_mouse_toolbar, edit_rendering), Package Store (store_manifest, store_crypto, store_db_state, store_search, store_telemetry, store_rendering), and Login Screen (login_bad_password, login_uid_transition, login_admin_auth, login_masking, login_rendering); 3) Month 6 First impressions: First-Run Setup Wizard (firstrun_identity, firstrun_account_synthesis, firstrun_cfg_generation). Automated headless QEMU boot test completes in ~91 seconds, verifying all 317 assertions with 0 failures and 0 panics.</t>
  </si>
  <si>
    <t>Desktop &amp; Server Editions Split Architecture from Shared Kernel (tools/build-disk-image.sh, Makefile, tools/tests/run_editions_test.sh, userland/shell/firstrun.c, kernel/task/exec_trust_demo.c, kernel/task/sandbox_demo.c, tools/python/test_runner.py). Implemented dual-install profile architecture (Desktop vs Server) from a 100% shared kernel binary (novaos.bin / novaos.iso): 1) Build-time profile engine (tools/build-disk-image.sh): supports --profile=desktop|server, positional profile arguments, and PROFILE environment variables. In desktop profile (disk.img), installs full graphical desktop suite (WM.ELF, GUI.ELF, FILES.ELF, SETTINGS.ELF, TERM.ELF, EDIT.ELF, STORE.ELF, LOGIN.ELF, INSTALL.ELF, CRASHREP.ELF, CRASH.ELF, FIRSTRUN.ELF, SETUP.ELF, ACCESS.CFG, EDITOR.PKG, GAME.PKG) and provisions /EDITION.TXT as 'NovaOS Desktop Edition (x86_32)'. In server profile (disk-server.img), strips ~6.7MB of compositor/GUI apps and desktop packages, installs headless MOTD banner (/MOTD.TXT), provisions /EDITION.TXT as 'NovaOS Server Edition (x86_32 headless)', generates server-tailored SYSTEM.CFG (81 bytes: NVCF, hostname 'novaos-server', root user 'admin', init 'NOVAINIT.ELF'), and provisions server packet filter /FIREWALL.CFG and supervisor /SERVICES.CFG while retaining core CLI tools and services (SHELL.ELF, NOVAINIT.ELF, CAT.ELF, LS.ELF, ECHO.ELF, CP.ELF, RM.ELF, SYSINFO.ELF, PING.ELF, UPDATE.ELF, KLOG.ELF, ACTMON.ELF, TPROBE.ELF, and test harnesses); 2) Kernel &amp; Ring-3 Edition Adaptation: userland/shell/firstrun.c detects /EDITION.TXT at boot and logs system edition; kernel/task/exec_trust_demo.c and kernel/task/sandbox_demo.c adapt ring-3 app selftests to edition identity, skipping GUI apps on server profile while running headless system tools (KLOG.ELF, ACTMON.ELF, MACTEST.ELF) and logging '[sandbox] PASS: Server edition profile active'; 3) Makefile &amp; Build Targets: added PROFILE ?= desktop, disk-desktop, disk-server, server-image, run-server, test-server, and test-editions targets; 4) Verification &amp; Automated Test Suite: created tools/tests/run_editions_test.sh (100% pass across 46 validation checks); extended tools/python/test_runner.py with --profile support, edition_desktop_detected (318/318 passed in 105s), and edition_server_detected / server_edition_profile_verified (247/247 passed in 87s).</t>
  </si>
  <si>
    <t>C, Rust, Python &amp; Shell</t>
  </si>
  <si>
    <t>Security Review &amp; Cross-Track Permission Boundary Audit (docs/SECURITY_REVIEW.md, kernel/security/security_audit.c, kernel/security/security_audit.h, tools/tests/run_security_audit_test.sh, Makefile). Completed comprehensive, cross-track security and permission audit across all 6 months of development: 1) Syscall authorization matrix &amp; bounds validation across all 84 system calls, enforcing high-memory kernel isolation (0xC0000000 virtual split, Page 0 IVT rejection, integer overflow/wraparound prevention via paging_user_range_ok), capability allowlists (allowed_files, allowed_hosts, can_spawn, can_open_any_file), MAC profile enforcement, and root privilege gates on mutating syscalls (SYS_OS_UPDATE, SYS_CRASHDUMP_CTL, SYS_DISK_INSTALL, SYS_FW_CTL, SYS_SHUTDOWN); 2) Least-privilege matrix across all 13 ring-3 applications (NOVAINIT.ELF, LOGIN.ELF, FIRSTRUN.ELF, SHELL.ELF, WM.ELF, FILES.ELF, SETTINGS.ELF, TERM.ELF, EDIT.ELF, STORE.ELF, KLOG.ELF, ACTMON.ELF, INSTALL.ELF, CRASHREP.ELF), verifying strict UID/GID privilege dropping, sandboxed capability confinement, and mandatory memory zeroization of plaintext password buffers in LOGIN.ELF (login.rs), FIRSTRUN.ELF (firstrun.rs), and firstrun.c; 3) Framebuffer single-owner mutual exclusion (SYS_FB_ACQUIRE/RELEASE returning -EBUSY on collision), IPC messaging sender PID/UID kernel-stamped immutability, and shared memory ACLs (SYS_SHM_GRANT); 4) Expanded in-kernel boot self-test (Phase 98, Section 5: '[ OK ] audit: cross-track application least-privilege matrix verified') and created dedicated host validation script tools/tests/run_security_audit_test.sh (make test-security) passing 10/10 checks; 5) Seeded technical documentation in RozeHub (http://127.0.0.1:8000/docs/novaos). Validated with 100% pass rate: Desktop Edition (319/319 assertions), Server Edition (248/248 assertions).</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</si>
</sst>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26</v>
      </c>
      <c r="E5" s="16" t="s">
        <v>27</v>
      </c>
      <c r="F5" s="17">
        <f>COUNTIF(Release!F2:F5,"Done")</f>
        <v>3</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1.0</v>
      </c>
      <c r="E7" s="16" t="s">
        <v>186</v>
      </c>
      <c r="F7" s="20">
        <f>F5/F6</f>
        <v>0.75</v>
      </c>
    </row>
    <row r="9">
      <c r="A9" s="21" t="s">
        <v>200</v>
      </c>
    </row>
    <row r="10">
      <c r="A10" s="16" t="s">
        <v>27</v>
      </c>
      <c r="B10" s="17">
        <f t="shared" ref="B10:B11" si="1">B5+D5+F5</f>
        <v>55</v>
      </c>
    </row>
    <row r="11">
      <c r="A11" s="16" t="s">
        <v>168</v>
      </c>
      <c r="B11" s="17">
        <f t="shared" si="1"/>
        <v>56</v>
      </c>
    </row>
    <row r="12">
      <c r="A12" s="16" t="s">
        <v>186</v>
      </c>
      <c r="B12" s="22">
        <f>B10/B11</f>
        <v>0.9821428571428571</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4</v>
      </c>
      <c r="C29" s="17">
        <f>COUNTIF('Interface Track'!A2:A1000,"Month 5 - Power-user &amp; system apps")</f>
        <v>4</v>
      </c>
      <c r="D29" s="24">
        <f t="shared" si="3"/>
        <v>1.0</v>
      </c>
    </row>
    <row r="30" ht="15.75" customHeight="1">
      <c r="A30" s="17" t="s">
        <v>147</v>
      </c>
      <c r="B30" s="17">
        <f>COUNTIFS('Interface Track'!A2:A1000,"Month 6 - First impressions",'Interface Track'!F2:F1000,"Done")</f>
        <v>5</v>
      </c>
      <c r="C30" s="17">
        <f>COUNTIF('Interface Track'!A2:A1000,"Month 6 - First impressions")</f>
        <v>5</v>
      </c>
      <c r="D30" s="24">
        <f t="shared" si="3"/>
        <v>1.0</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26</v>
      </c>
      <c r="D34" s="27">
        <f t="shared" ref="D34:D36" si="4">B34+C34</f>
        <v>41</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27</v>
      </c>
      <c r="G19" s="13" t="s">
        <v>223</v>
      </c>
    </row>
    <row r="20" ht="60.0" customHeight="1">
      <c r="A20" s="5" t="s">
        <v>124</v>
      </c>
      <c r="B20" s="5" t="s">
        <v>131</v>
      </c>
      <c r="C20" s="5" t="s">
        <v>132</v>
      </c>
      <c r="D20" s="5" t="s">
        <v>133</v>
      </c>
      <c r="E20" s="10" t="s">
        <v>23</v>
      </c>
      <c r="F20" s="12" t="s">
        <v>27</v>
      </c>
      <c r="G20" s="13" t="s">
        <v>224</v>
      </c>
    </row>
    <row r="21" ht="60.0" customHeight="1">
      <c r="A21" s="5" t="s">
        <v>124</v>
      </c>
      <c r="B21" s="5" t="s">
        <v>137</v>
      </c>
      <c r="C21" s="5" t="s">
        <v>139</v>
      </c>
      <c r="D21" s="5" t="s">
        <v>140</v>
      </c>
      <c r="E21" s="10" t="s">
        <v>23</v>
      </c>
      <c r="F21" s="12" t="s">
        <v>27</v>
      </c>
      <c r="G21" s="13" t="s">
        <v>225</v>
      </c>
    </row>
    <row r="22" ht="60.0" customHeight="1">
      <c r="A22" s="5" t="s">
        <v>124</v>
      </c>
      <c r="B22" s="5" t="s">
        <v>142</v>
      </c>
      <c r="C22" s="5" t="s">
        <v>144</v>
      </c>
      <c r="D22" s="5" t="s">
        <v>146</v>
      </c>
      <c r="E22" s="10" t="s">
        <v>23</v>
      </c>
      <c r="F22" s="12" t="s">
        <v>27</v>
      </c>
      <c r="G22" s="13" t="s">
        <v>226</v>
      </c>
    </row>
    <row r="23" ht="60.0" customHeight="1">
      <c r="A23" s="5" t="s">
        <v>147</v>
      </c>
      <c r="B23" s="5" t="s">
        <v>148</v>
      </c>
      <c r="C23" s="5" t="s">
        <v>149</v>
      </c>
      <c r="D23" s="5" t="s">
        <v>150</v>
      </c>
      <c r="E23" s="10" t="s">
        <v>23</v>
      </c>
      <c r="F23" s="12" t="s">
        <v>27</v>
      </c>
      <c r="G23" s="13" t="s">
        <v>227</v>
      </c>
    </row>
    <row r="24" ht="60.0" customHeight="1">
      <c r="A24" s="5" t="s">
        <v>147</v>
      </c>
      <c r="B24" s="5" t="s">
        <v>152</v>
      </c>
      <c r="C24" s="5" t="s">
        <v>154</v>
      </c>
      <c r="D24" s="5" t="s">
        <v>156</v>
      </c>
      <c r="E24" s="10" t="s">
        <v>23</v>
      </c>
      <c r="F24" s="12" t="s">
        <v>27</v>
      </c>
      <c r="G24" s="13" t="s">
        <v>228</v>
      </c>
    </row>
    <row r="25" ht="60.0" customHeight="1">
      <c r="A25" s="5" t="s">
        <v>147</v>
      </c>
      <c r="B25" s="5" t="s">
        <v>157</v>
      </c>
      <c r="C25" s="5" t="s">
        <v>158</v>
      </c>
      <c r="D25" s="5" t="s">
        <v>160</v>
      </c>
      <c r="E25" s="10" t="s">
        <v>23</v>
      </c>
      <c r="F25" s="12" t="s">
        <v>27</v>
      </c>
      <c r="G25" s="13" t="s">
        <v>230</v>
      </c>
    </row>
    <row r="26" ht="60.0" customHeight="1">
      <c r="A26" s="5" t="s">
        <v>147</v>
      </c>
      <c r="B26" s="5" t="s">
        <v>163</v>
      </c>
      <c r="C26" s="5" t="s">
        <v>164</v>
      </c>
      <c r="D26" s="5" t="s">
        <v>165</v>
      </c>
      <c r="E26" s="10" t="s">
        <v>23</v>
      </c>
      <c r="F26" s="12" t="s">
        <v>27</v>
      </c>
      <c r="G26" s="13" t="s">
        <v>231</v>
      </c>
    </row>
    <row r="27" ht="60.0" customHeight="1">
      <c r="A27" s="5" t="s">
        <v>147</v>
      </c>
      <c r="B27" s="5" t="s">
        <v>171</v>
      </c>
      <c r="C27" s="5" t="s">
        <v>172</v>
      </c>
      <c r="D27" s="5" t="s">
        <v>173</v>
      </c>
      <c r="E27" s="7" t="s">
        <v>22</v>
      </c>
      <c r="F27" s="12" t="s">
        <v>27</v>
      </c>
      <c r="G27" s="13" t="s">
        <v>232</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2" t="s">
        <v>27</v>
      </c>
      <c r="G2" s="13" t="s">
        <v>233</v>
      </c>
    </row>
    <row r="3" ht="60.0" customHeight="1">
      <c r="A3" s="5" t="s">
        <v>9</v>
      </c>
      <c r="B3" s="5" t="s">
        <v>43</v>
      </c>
      <c r="C3" s="5" t="s">
        <v>44</v>
      </c>
      <c r="D3" s="5" t="s">
        <v>47</v>
      </c>
      <c r="E3" s="7" t="s">
        <v>22</v>
      </c>
      <c r="F3" s="12" t="s">
        <v>27</v>
      </c>
      <c r="G3" s="13" t="s">
        <v>234</v>
      </c>
    </row>
    <row r="4" ht="60.0" customHeight="1">
      <c r="A4" s="5" t="s">
        <v>9</v>
      </c>
      <c r="B4" s="5" t="s">
        <v>51</v>
      </c>
      <c r="C4" s="5" t="s">
        <v>52</v>
      </c>
      <c r="D4" s="5" t="s">
        <v>54</v>
      </c>
      <c r="E4" s="7" t="s">
        <v>235</v>
      </c>
      <c r="F4" s="12" t="s">
        <v>27</v>
      </c>
      <c r="G4" s="13" t="s">
        <v>236</v>
      </c>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ns1: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