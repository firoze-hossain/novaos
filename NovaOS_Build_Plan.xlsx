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<sst xmlns="http://schemas.openxmlformats.org/spreadsheetml/2006/main" count="231" uniqueCount="231">
  <si>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</si>
  <si>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</si>
  <si>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</si>
  <si>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</si>
  <si>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</si>
  <si>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</si>
  <si>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</si>
  <si>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</si>
  <si>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</si>
  <si>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</si>
  <si>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</si>
  <si>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</si>
  <si>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</si>
  <si>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</si>
  <si>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</si>
  <si>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</si>
  <si>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</si>
  <si>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</si>
  <si>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</si>
  <si>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</si>
  <si>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</si>
  <si>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</si>
  <si>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</si>
  <si>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</si>
  <si>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</si>
  <si>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</si>
  <si>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</si>
  <si>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</si>
  <si>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</si>
  <si>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</si>
  <si>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</si>
  <si>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</si>
  <si>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</si>
  <si>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</si>
  <si>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</si>
  <si>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</si>
  <si>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</si>
  <si>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</si>
  <si>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</si>
  <si>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</si>
  <si>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</si>
  <si>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</si>
  <si>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</si>
  <si>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</si>
  <si>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</si>
  <si>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</si>
  <si>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</si>
  <si>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</si>
  <si>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</si>
  <si>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</si>
  <si>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</si>
  <si>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</si>
  <si>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</si>
  <si>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</si>
  <si>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</si>
  <si>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</si>
  <si>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</si>
  <si>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</si>
  <si>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</si>
  <si>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</si>
  <si>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</si>
  <si>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</si>
  <si>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</si>
  <si>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</si>
  <si>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</si>
  <si>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</si>
  <si>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</si>
  <si>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</si>
  <si>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</si>
  <si>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</si>
  <si>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</si>
  <si>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</si>
  <si>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</si>
  <si>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</si>
  <si>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</si>
  <si>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</si>
  <si>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</si>
  <si>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</si>
  <si>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</si>
  <si>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</si>
  <si>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</si>
  <si>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</si>
  <si>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</si>
  <si>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</si>
  <si>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</si>
  <si>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</si>
  <si>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</si>
  <si>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</si>
  <si>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</si>
  <si>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</si>
  <si>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</si>
  <si>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</si>
  <si>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</si>
  <si>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</si>
  <si>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</si>
  <si>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</si>
  <si>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</si>
  <si>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</si>
  <si>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</si>
  <si>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</si>
  <si>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</si>
  <si>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</si>
  <si>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</si>
  <si>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</si>
  <si>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</si>
  <si>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</si>
  <si>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</si>
  <si>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</si>
  <si>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</si>
  <si>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</si>
  <si>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</si>
  <si>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</si>
  <si>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</si>
  <si>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</si>
  <si>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</si>
  <si>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</si>
  <si>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</si>
  <si>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</si>
  <si>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</si>
  <si>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</si>
  <si>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</si>
  <si>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</si>
  <si>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</si>
  <si>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</si>
  <si>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</si>
  <si>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</si>
  <si>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</si>
  <si>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</si>
  <si>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</si>
  <si>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</si>
  <si>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</si>
  <si>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</si>
  <si>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</si>
  <si>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</si>
  <si>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</si>
  <si>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</si>
  <si>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</si>
  <si>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</si>
  <si>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</si>
  <si>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</si>
  <si>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</si>
  <si>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</si>
  <si>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</si>
  <si>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</si>
  <si>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</si>
  <si>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</si>
  <si>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</si>
  <si>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</si>
  <si>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</si>
  <si>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</si>
  <si>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</si>
  <si>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</si>
  <si>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</si>
  <si>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</si>
  <si>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</si>
  <si>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</si>
  <si>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</si>
  <si>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</si>
  <si>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</si>
  <si>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</si>
  <si>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</si>
  <si>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</si>
  <si>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</si>
  <si>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</si>
  <si>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</si>
  <si>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</si>
  <si>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</si>
  <si>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</si>
  <si>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</si>
  <si>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</si>
  <si>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</si>
  <si>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</si>
  <si>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</si>
  <si>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</si>
  <si>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</si>
  <si>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</si>
  <si>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</si>
  <si>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</si>
  <si>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</si>
  <si>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</si>
  <si>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</si>
  <si>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</si>
  <si>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</si>
  <si>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</si>
  <si>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</si>
  <si>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</si>
  <si>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</si>
  <si>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</si>
  <si>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</si>
  <si>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</si>
  <si>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</si>
  <si>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</si>
  <si>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</si>
  <si>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</si>
  <si>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</si>
  <si>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</si>
  <si>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</si>
  <si>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</si>
  <si>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</si>
  <si>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</si>
  <si>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</si>
  <si>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</si>
  <si>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</si>
  <si>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</si>
  <si>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</si>
  <si>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</si>
  <si>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</si>
  <si>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</si>
  <si>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</si>
  <si>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</si>
  <si>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</si>
  <si>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</si>
  <si>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</si>
  <si>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</si>
  <si>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</si>
  <si>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</si>
  <si>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</si>
  <si>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</si>
  <si>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</si>
  <si>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</si>
  <si>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</si>
  <si>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</si>
  <si>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</si>
  <si>
    <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t>
  </si>
  <si>
    <t>NovaOS Graphical Activity &amp; Performance Monitor App (userland/actmon-rs/actmon.rs, ffi.rs, build.sh, ACTMON.ELF, SYSINFO.ELF, userland/libc/include/nova_proc_abi.h, kernel/rust/procman.rs). Pure #![no_std] ring-3 graphical system activity monitor querying scheduler state and physical memory telemetry via dedicated syscall SYS_PROC_INFO (84) supporting NOVA_PROC_OP_GET_SYSINFO, NOVA_PROC_OP_GET_TABLE, and NOVA_PROC_OP_GET_ENTRY. Features a 4-view tabbed interface ([Processes], [CPU &amp; Performance], [Memory &amp; System], [System Info]), real-time telemetry banner cards (CPU usage gauge with live sparkline trend, physical memory gauge with used/total MB and percentage, process count breakdown across Total/Running/User/Kernel, and SMP active cores), 4 category filter chips (All, Apps (User), Kernel Tasks, Active (&gt;0%)), real-time substring search filtering, interactive column sorting (PID, Name, CPU %, Memory footprint), detailed process inspector card (PID, Name, execution state, security context UID/GID, memory pages, heap allocation, CPU ticks, window quota usage %), and responsive status bar with live summary. Rasterized directly onto BufferSurface32 without per-pixel syscall overhead, backed entirely by static BSS buffers guaranteeing 0-byte stack exhaustion within the 16KB userland stack budget. Verified via make actmon-test (10 host tests: 4 kernel + 6 app) and automated QEMU boot test.</t>
  </si>
  <si>
    <t>NovaOS Global Accessibility Architecture &amp; Display Panel (userland/ui-rs/src/access.rs, color.rs, cursor.rs, font.rs, lib.rs, userland/wm-rs/wm.rs, ffi.rs, WM.ELF, userland/settings-rs/settings.rs, SETTINGS.ELF, tools/fixtures/ACCESS.CFG). Pure #![no_std] global accessibility subsystem supporting dynamic typography scaling and high-contrast visuals for low-vision accessibility. Features 4 font scaling tiers (Normal 100%, Medium 125%, Large 150%, Extra Large 200%) dynamically resizing line heights, character advances, and glyph metrics, Theme::HighContrast palette conforming to WCAG 2.1 AAA contrast ratios (&gt;7.0:1 text, pure #000000 background, pure #FFFFFF text and active titlebars, #FFFF00 focus rings, bold accents, disabled drop shadows, and 2px window borders), and high-visibility cursor (CursorTheme::HighContrast with bright yellow #FFFF00 interior and pure black outline). Fully integrated into the window manager (Wm::apply_accessibility_config, set_font_scale, set_theme) dynamically scaling titlebars, menubars, and taskbars, and into the Settings application (PanelKind::Display 'Display &amp; Accessibility') with live typography preview cards, font scale buttons, high-contrast toggle, cursor style cycler, and 64-byte persistent binary configuration (ACCESS.CFG with NVAC magic and 16-bit CRC checksum). Zero per-pixel syscall overhead rasterized directly onto BufferSurface32 and backed by static BSS memory within the 16KB userland stack budget. Verified via make ui-test (23 tests), make wm-test (10 tests), make settings-test (21 tests), and automated QEMU boot test.</t>
  </si>
  <si>
    <t>NovaOS Multi-Window Snapping Polish &amp; Tiling Subsystem (userland/wm-rs/wm.rs, ffi.rs, WM.ELF, userland/ui-rs/src/menu.rs). Pure #![no_std] refined window snapping and tiling engine featuring expanded SnapState (Normal, Left, Right, Maximize, TopLeft, TopRight, BottomLeft, BottomRight), panel-aware WorkArea and multi-monitor-ready MonitorGeometry abstractions respecting top menubar (y=24) and bottom taskbar (y=732), smoother edges with gapless non-overlapping quadrant and half coverage, interactive snap preview ghost outline overlay with accent stroke, titlebar Maximize button toggle ('[]') with floating pre_snap geometry preservation, proportional cursor placement on un-snap preventing abrupt jumps, double-click titlebar maximize toggle, automated tiling modes (TileMode::SideBySide, Grid2x2, Cascade), and menu action dispatch (ACTION_WINDOW_SNAP_LEFT/RIGHT/TOP_LEFT/TOP_RIGHT/BOTTOM_LEFT/BOTTOM_RIGHT/RESTORE/TILE_GRID/CASCADE). Fully verified via make wm-test (17 host tests) and automated QEMU boot test.</t>
  </si>
  <si>
    <t>NovaOS Graphical Installer Flow (userland/installer-rs/installer.rs, ffi.rs, crypto.rs, build.sh, tools/fixtures/INSTALL.ELF). Pure #![no_std] ring-3 graphical installer wizard walking the user through live OS installation. Features a 6-step guided wizard state machine: 1) Welcome &amp; System Overview with live hardware autodetection (x86 32-bit SMP cores, physical RAM, ATA/VirtIO/NVMe block devices, VESA linear framebuffer) and hardware prerequisite validation; 2) Target Disk Selection &amp; Partition Layout with block device selector (/dev/ata0, /dev/vda, /dev/nvme0n1), partition presets (Standard 64/32/4/1 MB, Minimal 32/16/2/1 MB, Workstation 128/64/8/2 MB), proportional visual color-coded partition bar gauge, and SYS_DISK_INSTALL dry-run geometry validation; 3) User Account &amp; System Configuration with hostname input (novaos), administrator username (admin), password masking with confirmation matching and strength scoring, pure #![no_std] PBKDF2-HMAC-SHA256 password hashing with random salt synthesis for USERS.CFG (NVUS magic), initial SYSTEM.CFG generation (NVCF magic), and default desktop session selector (WM.ELF vs SHELL.ELF); 4) Summary &amp; Pre-Install Confirmation reviewing complete blueprint with prominent caution warning and authorization safety toggle; 5) Live Installation Progress engine driving SYS_DISK_INSTALL with animated 0-100% progress bar, stage indicator checklists, and live scrolling status log; 6) Installation Success completion screen with completion badge, summary metrics, and [Reboot System] / [Quit to Shell] actions. Direct BufferSurface32 rendering with zero per-pixel syscalls, backed by static BSS memory within the 16KB userland stack limit. Includes kernel FAT32 cluster allocator optimization in kernel/fs/fat32.c eliminating sector scan I/O bottleneck. Verified via make installer-test (10 host tests) and automated QEMU boot test (265/265 assertions passing).</t>
  </si>
  <si>
    <t>NovaOS Graphical Crash Reporter &amp; Diagnostic Inspector (userland/crashrep-rs/crashrep.rs, parser.rs, ffi.rs, build.sh, tools/fixtures/CRASHREP.ELF, tools/fixtures/CRASH.ELF). Pure #![no_std] ring-3 graphical problem reporter and crash dump inspector shown automatically at boot or on-demand when a pending panic record is found on disk (/CRASHDMP.TXT and /CRASHDMP.DAT). Features: 1) Prominent Critical Alert banner card and window frame with problem diagnosis; 2) 4-tab interactive navigation across Overview (reason, exception vector, faulting EIP, CR2 fault address, error code, and failure assessment), CPU Registers (full 16-register CPU snapshot with EIP/CR2/INT_NO highlighting and EFLAGS decoding), Call Stack (EBP frame backtrace chain with symbolic module classifications across kernel init, paging, VFS, drivers, and userland), and Raw Report (scrollable monospace view of /CRASHDMP.TXT with line numbers); 3) Bottom action toolbar with [Dismiss], [Clear Record] driving SYS_CRASHDUMP_CTL (80) op 4, and [Reboot]; 4) Zero-syscall BufferSurface32 direct rasterization backed entirely by static BSS buffers within the 16KB userland stack budget; 5) Integrated boot notice and interactive commands ('crash', 'crash gui') in userland/shell/shell.c and userland/ring3-shell/shell.c. Verified via make crashrep-test (9 host tests) and automated QEMU boot test (270/270 assertions passing).</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</si>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</sst>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24</v>
      </c>
      <c r="E5" s="16" t="s">
        <v>27</v>
      </c>
      <c r="F5" s="17">
        <f>COUNTIF(Release!F2:F5,"Done")</f>
        <v>0</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0.9230769230769231</v>
      </c>
      <c r="E7" s="16" t="s">
        <v>186</v>
      </c>
      <c r="F7" s="20">
        <f>F5/F6</f>
        <v>0</v>
      </c>
    </row>
    <row r="9">
      <c r="A9" s="21" t="s">
        <v>200</v>
      </c>
    </row>
    <row r="10">
      <c r="A10" s="16" t="s">
        <v>27</v>
      </c>
      <c r="B10" s="17">
        <f t="shared" ref="B10:B11" si="1">B5+D5+F5</f>
        <v>50</v>
      </c>
    </row>
    <row r="11">
      <c r="A11" s="16" t="s">
        <v>168</v>
      </c>
      <c r="B11" s="17">
        <f t="shared" si="1"/>
        <v>56</v>
      </c>
    </row>
    <row r="12">
      <c r="A12" s="16" t="s">
        <v>186</v>
      </c>
      <c r="B12" s="22">
        <f>B10/B11</f>
        <v>0.8928571428571429</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4</v>
      </c>
      <c r="C29" s="17">
        <f>COUNTIF('Interface Track'!A2:A1000,"Month 5 - Power-user &amp; system apps")</f>
        <v>4</v>
      </c>
      <c r="D29" s="24">
        <f t="shared" si="3"/>
        <v>1.0</v>
      </c>
    </row>
    <row r="30" ht="15.75" customHeight="1">
      <c r="A30" s="17" t="s">
        <v>147</v>
      </c>
      <c r="B30" s="17">
        <f>COUNTIFS('Interface Track'!A2:A1000,"Month 6 - First impressions",'Interface Track'!F2:F1000,"Done")</f>
        <v>3</v>
      </c>
      <c r="C30" s="17">
        <f>COUNTIF('Interface Track'!A2:A1000,"Month 6 - First impressions")</f>
        <v>5</v>
      </c>
      <c r="D30" s="24">
        <f t="shared" si="3"/>
        <v>0.6</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26</v>
      </c>
      <c r="D34" s="27">
        <f t="shared" ref="D34:D36" si="4">B34+C34</f>
        <v>41</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27</v>
      </c>
      <c r="G19" s="13" t="s">
        <v>223</v>
      </c>
    </row>
    <row r="20" ht="60.0" customHeight="1">
      <c r="A20" s="5" t="s">
        <v>124</v>
      </c>
      <c r="B20" s="5" t="s">
        <v>131</v>
      </c>
      <c r="C20" s="5" t="s">
        <v>132</v>
      </c>
      <c r="D20" s="5" t="s">
        <v>133</v>
      </c>
      <c r="E20" s="10" t="s">
        <v>23</v>
      </c>
      <c r="F20" s="12" t="s">
        <v>27</v>
      </c>
      <c r="G20" s="13" t="s">
        <v>224</v>
      </c>
    </row>
    <row r="21" ht="60.0" customHeight="1">
      <c r="A21" s="5" t="s">
        <v>124</v>
      </c>
      <c r="B21" s="5" t="s">
        <v>137</v>
      </c>
      <c r="C21" s="5" t="s">
        <v>139</v>
      </c>
      <c r="D21" s="5" t="s">
        <v>140</v>
      </c>
      <c r="E21" s="10" t="s">
        <v>23</v>
      </c>
      <c r="F21" s="12" t="s">
        <v>27</v>
      </c>
      <c r="G21" s="13" t="s">
        <v>225</v>
      </c>
    </row>
    <row r="22" ht="60.0" customHeight="1">
      <c r="A22" s="5" t="s">
        <v>124</v>
      </c>
      <c r="B22" s="5" t="s">
        <v>142</v>
      </c>
      <c r="C22" s="5" t="s">
        <v>144</v>
      </c>
      <c r="D22" s="5" t="s">
        <v>146</v>
      </c>
      <c r="E22" s="10" t="s">
        <v>23</v>
      </c>
      <c r="F22" s="12" t="s">
        <v>27</v>
      </c>
      <c r="G22" s="13" t="s">
        <v>226</v>
      </c>
    </row>
    <row r="23" ht="60.0" customHeight="1">
      <c r="A23" s="5" t="s">
        <v>147</v>
      </c>
      <c r="B23" s="5" t="s">
        <v>148</v>
      </c>
      <c r="C23" s="5" t="s">
        <v>149</v>
      </c>
      <c r="D23" s="5" t="s">
        <v>150</v>
      </c>
      <c r="E23" s="10" t="s">
        <v>23</v>
      </c>
      <c r="F23" s="12" t="s">
        <v>27</v>
      </c>
      <c r="G23" s="13" t="s">
        <v>227</v>
      </c>
    </row>
    <row r="24" ht="60.0" customHeight="1">
      <c r="A24" s="5" t="s">
        <v>147</v>
      </c>
      <c r="B24" s="5" t="s">
        <v>152</v>
      </c>
      <c r="C24" s="5" t="s">
        <v>154</v>
      </c>
      <c r="D24" s="5" t="s">
        <v>156</v>
      </c>
      <c r="E24" s="10" t="s">
        <v>23</v>
      </c>
      <c r="F24" s="12" t="s">
        <v>27</v>
      </c>
      <c r="G24" s="13" t="s">
        <v>228</v>
      </c>
    </row>
    <row r="25" ht="60.0" customHeight="1">
      <c r="A25" s="5" t="s">
        <v>147</v>
      </c>
      <c r="B25" s="5" t="s">
        <v>157</v>
      </c>
      <c r="C25" s="5" t="s">
        <v>158</v>
      </c>
      <c r="D25" s="5" t="s">
        <v>160</v>
      </c>
      <c r="E25" s="10" t="s">
        <v>23</v>
      </c>
      <c r="F25" s="12" t="s">
        <v>27</v>
      </c>
      <c r="G25" s="13" t="s">
        <v>230</v>
      </c>
    </row>
    <row r="26" ht="60.0" customHeight="1">
      <c r="A26" s="5" t="s">
        <v>147</v>
      </c>
      <c r="B26" s="5" t="s">
        <v>163</v>
      </c>
      <c r="C26" s="5" t="s">
        <v>164</v>
      </c>
      <c r="D26" s="5" t="s">
        <v>165</v>
      </c>
      <c r="E26" s="10" t="s">
        <v>23</v>
      </c>
      <c r="F26" s="11" t="s">
        <v>26</v>
      </c>
      <c r="G26" s="13"/>
    </row>
    <row r="27" ht="60.0" customHeight="1">
      <c r="A27" s="5" t="s">
        <v>147</v>
      </c>
      <c r="B27" s="5" t="s">
        <v>171</v>
      </c>
      <c r="C27" s="5" t="s">
        <v>172</v>
      </c>
      <c r="D27" s="5" t="s">
        <v>173</v>
      </c>
      <c r="E27" s="7" t="s">
        <v>22</v>
      </c>
      <c r="F27" s="11" t="s">
        <v>26</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1" t="s">
        <v>26</v>
      </c>
      <c r="G2" s="13"/>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