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<sst xmlns="http://schemas.openxmlformats.org/spreadsheetml/2006/main" count="233" uniqueCount="233">
  <si>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</si>
  <si>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</si>
  <si>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</si>
  <si>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</si>
  <si>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</si>
  <si>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</si>
  <si>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</si>
  <si>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</si>
  <si>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</si>
  <si>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</si>
  <si>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</si>
  <si>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</si>
  <si>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</si>
  <si>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</si>
  <si>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</si>
  <si>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</si>
  <si>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</si>
  <si>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</si>
  <si>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</si>
  <si>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</si>
  <si>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</si>
  <si>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</si>
  <si>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</si>
  <si>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</si>
  <si>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</si>
  <si>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</si>
  <si>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</si>
  <si>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</si>
  <si>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</si>
  <si>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</si>
  <si>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</si>
  <si>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</si>
  <si>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</si>
  <si>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</si>
  <si>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</si>
  <si>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</si>
  <si>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</si>
  <si>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</si>
  <si>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</si>
  <si>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</si>
  <si>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</si>
  <si>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</si>
  <si>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</si>
  <si>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</si>
  <si>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</si>
  <si>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</si>
  <si>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</si>
  <si>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</si>
  <si>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</si>
  <si>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</si>
  <si>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</si>
  <si>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</si>
  <si>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</si>
  <si>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</si>
  <si>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</si>
  <si>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</si>
  <si>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</si>
  <si>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</si>
  <si>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</si>
  <si>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</si>
  <si>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</si>
  <si>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</si>
  <si>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</si>
  <si>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</si>
  <si>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</si>
  <si>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</si>
  <si>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</si>
  <si>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</si>
  <si>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</si>
  <si>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</si>
  <si>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</si>
  <si>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</si>
  <si>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</si>
  <si>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</si>
  <si>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</si>
  <si>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</si>
  <si>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</si>
  <si>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</si>
  <si>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</si>
  <si>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</si>
  <si>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</si>
  <si>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</si>
  <si>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</si>
  <si>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</si>
  <si>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</si>
  <si>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</si>
  <si>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</si>
  <si>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</si>
  <si>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</si>
  <si>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</si>
  <si>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</si>
  <si>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</si>
  <si>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</si>
  <si>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</si>
  <si>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</si>
  <si>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</si>
  <si>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</si>
  <si>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</si>
  <si>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</si>
  <si>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</si>
  <si>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</si>
  <si>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</si>
  <si>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</si>
  <si>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</si>
  <si>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</si>
  <si>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</si>
  <si>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</si>
  <si>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</si>
  <si>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</si>
  <si>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</si>
  <si>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</si>
  <si>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</si>
  <si>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</si>
  <si>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</si>
  <si>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</si>
  <si>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</si>
  <si>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</si>
  <si>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</si>
  <si>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</si>
  <si>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</si>
  <si>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</si>
  <si>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</si>
  <si>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</si>
  <si>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</si>
  <si>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</si>
  <si>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</si>
  <si>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</si>
  <si>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</si>
  <si>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</si>
  <si>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</si>
  <si>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</si>
  <si>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</si>
  <si>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</si>
  <si>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</si>
  <si>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</si>
  <si>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</si>
  <si>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</si>
  <si>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</si>
  <si>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</si>
  <si>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</si>
  <si>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</si>
  <si>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</si>
  <si>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</si>
  <si>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</si>
  <si>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</si>
  <si>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</si>
  <si>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</si>
  <si>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</si>
  <si>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</si>
  <si>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</si>
  <si>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</si>
  <si>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</si>
  <si>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</si>
  <si>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</si>
  <si>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</si>
  <si>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</si>
  <si>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</si>
  <si>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</si>
  <si>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</si>
  <si>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</si>
  <si>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</si>
  <si>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</si>
  <si>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</si>
  <si>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</si>
  <si>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</si>
  <si>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</si>
  <si>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</si>
  <si>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</si>
  <si>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</si>
  <si>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</si>
  <si>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</si>
  <si>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</si>
  <si>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</si>
  <si>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</si>
  <si>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</si>
  <si>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</si>
  <si>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</si>
  <si>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</si>
  <si>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</si>
  <si>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</si>
  <si>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</si>
  <si>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</si>
  <si>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</si>
  <si>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</si>
  <si>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</si>
  <si>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</si>
  <si>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</si>
  <si>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</si>
  <si>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</si>
  <si>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</si>
  <si>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</si>
  <si>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</si>
  <si>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</si>
  <si>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</si>
  <si>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</si>
  <si>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</si>
  <si>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</si>
  <si>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</si>
  <si>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</si>
  <si>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</si>
  <si>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</si>
  <si>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</si>
  <si>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</si>
  <si>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</si>
  <si>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</si>
  <si>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</si>
  <si>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</si>
  <si>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</si>
  <si>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</si>
  <si>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</si>
  <si>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</si>
  <si>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</si>
  <si>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</si>
  <si>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</si>
  <si>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</si>
  <si>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</si>
  <si>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</si>
  <si>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</si>
  <si>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</si>
  <si>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</si>
  <si>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</si>
  <si>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</si>
  <si>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</si>
  <si>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</si>
  <si>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</si>
  <si>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</si>
  <si>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</si>
  <si>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</si>
  <si>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</si>
  <si>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</si>
  <si>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</si>
  <si>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First-Run Setup Wizard (userland/firstrun-rs/firstrun.rs, crypto.rs, ffi.rs, build.sh, tools/fixtures/FIRSTRUN.ELF, tools/fixtures/SETUP.ELF). Pure #![no_std] ring-3 graphical first-run setup wizard extending the original firstrun.c architecture into a modern multi-step guided setup flow. Features: 1) Hardware telemetry &amp; welcome view (CPU vendor/model/cores, RAM capacity, detected storage media, network adapters); 2) Machine identity configuration (hostname validation, init executable selection, SYSTEM.CFG serialization with 'NVCF' magic); 3) Primary administrator account setup (UID 0 / GID 0, real RFC 8018 PBKDF2-HMAC-SHA256 hashing with 4096 iterations, cryptographic salt derivation, USERS.CFG serialization with 'NVUS' magic); 4) Network configuration (DHCP vs static IPv4 address/gateway/DNS, stateful firewall policy generation, FIREWALL.CFG serialization); 5) Visual preferences &amp; accessibility (Theme selection [Dark, Light, HighContrast], font scaling [100%, 125%, 150%, 200%], cursor themes [White, Amber, Retro], ACCESS.CFG persistence with CRC checksum); 6) Review &amp; deployment summary with progressive atomic writing of all configuration files; 7) Setup completion view offering direct launch of the Graphical Desktop (WM.ELF) or Developer Shell (SHELL.ELF); 8) Zero-syscall BufferSurface32 rasterization adhering to the 16KB userland stack budget by utilizing static BSS memory. Verified via make firstrun-test (8 host unit tests) and automated QEMU boot test.</t>
  </si>
  <si>
    <t>NovaOS Full UI QA Pass &amp; End-User Documentation (tools/tests/run_ui_qa_pass.sh, make ui-qa, docs/USER_GUIDE.md, RozeHub Documentation Database &amp; Local Server). Completed comprehensive QA testing pass verifying all 13 ring-3 applications and graphical subsystems developed across Months 1-6: 1) Shared UI Design System (userland/ui-rs - 23 host unit tests); 2) Window Manager &amp; Compositor with 8-zone snapping and tiling (userland/wm-rs - 17 host tests); 3) File Manager (userland/files-rs - 4 host tests); 4) In-Window Terminal Emulator (userland/term-rs - 5 host tests); 5) Monospace Text Editor (userland/edit-rs - 5 host tests); 6) Software Store &amp; Package Manager (userland/store-rs - 6 host tests); 7) Settings Shell &amp; Admin Panels (userland/settings-rs - 24 host tests); 8) Graphical Login &amp; Session Manager (userland/login-rs - 6 host tests); 9) Structured Kernel Log Viewer (userland/klog-rs - 12 host tests); 10) Activity Monitor &amp; Resource Meters (userland/actmon-rs - 10 host tests); 11) Graphical Installer Wizard (userland/installer-rs - 10 host tests); 12) Graphical Crash Reporter (userland/crashrep-rs - 9 host tests); 13) First-Run Setup Wizard (userland/firstrun-rs - 10 host tests). Total: 141 UI unit tests passing across all 13 modules with 100% pass rate. Authored complete, authoritative 8-chapter End-User Manual (docs/USER_GUIDE.md) and seeded comprehensive production documentation into RozeHub with 8 sections and 21 pages, running live on http://127.0.0.1:8000/docs/novaos. Verified via make ui-qa and automated QEMU boot test (275/275 assertions passing).</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</si>
</sst>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26</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1.0</v>
      </c>
      <c r="E7" s="16" t="s">
        <v>186</v>
      </c>
      <c r="F7" s="20">
        <f>F5/F6</f>
        <v>0</v>
      </c>
    </row>
    <row r="9">
      <c r="A9" s="21" t="s">
        <v>200</v>
      </c>
    </row>
    <row r="10">
      <c r="A10" s="16" t="s">
        <v>27</v>
      </c>
      <c r="B10" s="17">
        <f t="shared" ref="B10:B11" si="1">B5+D5+F5</f>
        <v>52</v>
      </c>
    </row>
    <row r="11">
      <c r="A11" s="16" t="s">
        <v>168</v>
      </c>
      <c r="B11" s="17">
        <f t="shared" si="1"/>
        <v>56</v>
      </c>
    </row>
    <row r="12">
      <c r="A12" s="16" t="s">
        <v>186</v>
      </c>
      <c r="B12" s="22">
        <f>B10/B11</f>
        <v>0.9285714285714286</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5</v>
      </c>
      <c r="C30" s="17">
        <f>COUNTIF('Interface Track'!A2:A1000,"Month 6 - First impressions")</f>
        <v>5</v>
      </c>
      <c r="D30" s="24">
        <f t="shared" si="3"/>
        <v>1.0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2" t="s">
        <v>27</v>
      </c>
      <c r="G25" s="13" t="s">
        <v>230</v>
      </c>
    </row>
    <row r="26" ht="60.0" customHeight="1">
      <c r="A26" s="5" t="s">
        <v>147</v>
      </c>
      <c r="B26" s="5" t="s">
        <v>163</v>
      </c>
      <c r="C26" s="5" t="s">
        <v>164</v>
      </c>
      <c r="D26" s="5" t="s">
        <v>165</v>
      </c>
      <c r="E26" s="10" t="s">
        <v>23</v>
      </c>
      <c r="F26" s="12" t="s">
        <v>27</v>
      </c>
      <c r="G26" s="13" t="s">
        <v>231</v>
      </c>
    </row>
    <row r="27" ht="60.0" customHeight="1">
      <c r="A27" s="5" t="s">
        <v>147</v>
      </c>
      <c r="B27" s="5" t="s">
        <v>171</v>
      </c>
      <c r="C27" s="5" t="s">
        <v>172</v>
      </c>
      <c r="D27" s="5" t="s">
        <v>173</v>
      </c>
      <c r="E27" s="7" t="s">
        <v>22</v>
      </c>
      <c r="F27" s="12" t="s">
        <v>27</v>
      </c>
      <c r="G27" s="13" t="s">
        <v>232</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