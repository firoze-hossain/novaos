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Kernel Track" sheetId="2" r:id="rId5"/>
    <sheet state="visible" name="Interface Track" sheetId="3" r:id="rId6"/>
    <sheet state="visible" name="Release" sheetId="4" r:id="rId7"/>
  </sheets>
  <definedNames/>
  <calcPr/>
  <extLst>
    <ext uri="GoogleSheetsCustomDataVersion2">
      <go:sheetsCustomData xmlns:go="http://customooxmlschemas.google.com/" r:id="rId8" roundtripDataChecksum="2stIfis6TJ73DWBsx7rhLwKsi0df3d2Vq06hGVRuqOE="/>
    </ext>
  </extLst>
</workbook>
</file>

<file path=xl/sharedStrings.xml><?xml version="1.0" encoding="utf-8"?>
<sst xmlns="http://schemas.openxmlformats.org/spreadsheetml/2006/main" count="239" uniqueCount="239">
  <si>
    <t>Month</t>
  </si>
  <si>
    <t>NovaOS - 6-Month Build Plan</t>
  </si>
  <si>
    <t>Task</t>
  </si>
  <si>
    <t>Description (purpose &amp; function)</t>
  </si>
  <si>
    <t>How to integrate into NovaOS</t>
  </si>
  <si>
    <t>Language</t>
  </si>
  <si>
    <t>Status</t>
  </si>
  <si>
    <t>Notes</t>
  </si>
  <si>
    <t>Month 1 - Foundation</t>
  </si>
  <si>
    <t>Cross-cutting - touches both tracks</t>
  </si>
  <si>
    <t>Complete the C library: realloc, fopen/fread, errno, environment variables</t>
  </si>
  <si>
    <t>The standard C functions most real C programs assume exist. Without them, porting any ordinary C program to NovaOS fails immediately on a missing symbol.</t>
  </si>
  <si>
    <t>Kernel and Interface tracked separately. No gaming scope. Every task includes what it's for, how to build it here, and Rust vs C.</t>
  </si>
  <si>
    <t>Month 1 - Prep</t>
  </si>
  <si>
    <t>Extend the automated test suite to cover every feature above as it lands</t>
  </si>
  <si>
    <t>Extend userland/libc/: realloc wraps the existing heap allocator with copy-on-grow; fopen/fread layer over the existing SYS_OPEN/SYS_READ syscalls; errno as a per-process global set by syscall wrappers; environment variables passed via the existing argv-style ELF entry convention.</t>
  </si>
  <si>
    <t>Adds automated boot-time checks for every new feature, keeping the project's proven "verify, don't assume" discipline intact as scope grows.</t>
  </si>
  <si>
    <t>Define the design system: colors, type scale, spacing, and widget conventions every app will follow</t>
  </si>
  <si>
    <t>New assertions in the existing tools/python/test_runner.py, following the same pattern already used for 81 existing checks.</t>
  </si>
  <si>
    <t>The shared visual language every future app follows - without this first, every app built after it looks inconsistent.</t>
  </si>
  <si>
    <t>C</t>
  </si>
  <si>
    <t>A small, shared Rust module (constants + basic drawing helpers) that wm-rs and every future app link against.</t>
  </si>
  <si>
    <t>N/A</t>
  </si>
  <si>
    <t>Rust</t>
  </si>
  <si>
    <t>Kernel Track</t>
  </si>
  <si>
    <t>Interface Track</t>
  </si>
  <si>
    <t>Not Started</t>
  </si>
  <si>
    <t>Done</t>
  </si>
  <si>
    <t>Dynamic linking - a real ld.so-equivalent loader and shared-library format</t>
  </si>
  <si>
    <t>Wire the shell into the service supervisor as a restartable, supervised service</t>
  </si>
  <si>
    <t>Lets multiple programs share one on-disk copy of a library instead of each statically duplicating it - the single biggest blocker to a real, growing app ecosystem.</t>
  </si>
  <si>
    <t>Makes the interactive shell a real, restartable service instead of a hardcoded exec, so it benefits from novainit's own crash recovery.</t>
  </si>
  <si>
    <t>Add the shell to SERVICES.CFG, the same config format novainit-rs already reads.</t>
  </si>
  <si>
    <t>Add PT_DYNAMIC/.dynsym/relocation support to process_exec_internal()'s ELF loader, plus a small runtime loader mapped into every process that resolves symbols at load time.</t>
  </si>
  <si>
    <t>Month 2 - Compositor</t>
  </si>
  <si>
    <t>Port the existing window manager off VGA text mode onto the new framebuffer</t>
  </si>
  <si>
    <t>Redesign fixed-size kernel tables (process table, etc.) to grow dynamically instead of another hardcoded ceiling</t>
  </si>
  <si>
    <t>Moves the existing, already-working window dragging/z-order/taskbar logic onto the new, real-resolution framebuffer.</t>
  </si>
  <si>
    <t>Replaces hardcoded ceilings (like today's process table) with tables that grow as needed, so the kernel doesn't silently run out of room under real load.</t>
  </si>
  <si>
    <t>Update wm-rs's own drawing calls to the new graphics syscalls - the window-management logic itself doesn't change, only the pixel-pushing layer underneath.</t>
  </si>
  <si>
    <t>Swap static C arrays for a kernel-side growable structure behind the same lookup functions already used, so callers don't change.</t>
  </si>
  <si>
    <t>Release</t>
  </si>
  <si>
    <t>Real font rendering - multiple sizes, antialiasing</t>
  </si>
  <si>
    <t>Split the build into Desktop and Server editions from one shared kernel</t>
  </si>
  <si>
    <t>One kernel, two install profiles - the cheapest real way to honestly support both use cases without maintaining two codebases.</t>
  </si>
  <si>
    <t>Replaces the current single-size 5x7 bitmap font with real, readable, multiple-size text - necessary for any app with real UI text.</t>
  </si>
  <si>
    <t>Finish driver-registration migration for the timer, VFS, and network drivers</t>
  </si>
  <si>
    <t>A build-time flag controlling whether the compositor/GUI apps are included in the disk image, following the existing build-disk-image.sh pattern.</t>
  </si>
  <si>
    <t>A new font-rendering module (bitmap atlas at minimum, a simple rasterizer as a stretch goal), called from the compositor and every text-drawing app.</t>
  </si>
  <si>
    <t>Moves the remaining drivers onto the same self-registering table 4 of ~10 drivers already use, so kernel_main() stops needing to know every driver by name.</t>
  </si>
  <si>
    <t>Apply the existing DRIVER_REGISTER() macro/linker-section pattern already proven on PS/2 and UHCI to timer_init/vfs_init/net_init.</t>
  </si>
  <si>
    <t>Security review spanning both tracks together</t>
  </si>
  <si>
    <t>A dedicated, cross-track review of every permission/capability boundary added across all six months, before release.</t>
  </si>
  <si>
    <t>Cursor themes and a redesigned window chrome (title bars, buttons)</t>
  </si>
  <si>
    <t>Manual review plus targeted testing of every new syscall and every new app's own permission use.</t>
  </si>
  <si>
    <t>Visual polish for the cursor and window title bars/buttons - small in scope, but visible in every screenshot of the OS.</t>
  </si>
  <si>
    <t>Extend wm-rs's existing drawing code with new cursor bitmaps and title-bar drawing routines.</t>
  </si>
  <si>
    <t>Wire the service supervisor in as the real, default first process</t>
  </si>
  <si>
    <t>Makes the existing service supervisor the actual first process the kernel starts, instead of the shell, so all future services get real dependency ordering and restart-on-crash from boot.</t>
  </si>
  <si>
    <t>v1.0 release-candidate build and final sign-off checklist</t>
  </si>
  <si>
    <t>Change SYSTEM.CFG's init_path default from SHELL.ELF to NOVAINIT.ELF, and have novainit's own config launch the shell as one of its supervised services.</t>
  </si>
  <si>
    <t>The final build-and-sign-off milestone - every task above complete, every test passing, ready to hand to a real user.</t>
  </si>
  <si>
    <t>Process/release work, not a feature in itself.</t>
  </si>
  <si>
    <t>Month 3 - Core desktop apps</t>
  </si>
  <si>
    <t>Menu bar across the top of the screen</t>
  </si>
  <si>
    <t>The persistent top-of-screen bar showing the active app's own menu - a core piece of desktop navigation.</t>
  </si>
  <si>
    <t>A new always-on-top compositor layer, similar to how the existing taskbar is drawn, reporting clicks back to the focused app.</t>
  </si>
  <si>
    <t>Dock/taskbar with app pinning and switching</t>
  </si>
  <si>
    <t>Extends the existing taskbar (which already shows open windows) to pinned, launchable apps, not just running ones.</t>
  </si>
  <si>
    <t>Extend wm-rs's existing taskbar code with a pinned-apps list and launch-on-click.</t>
  </si>
  <si>
    <t>Add UDP socket support alongside the existing TCP stack</t>
  </si>
  <si>
    <t>Adds connectionless networking (DNS, DHCP, voice/game-style traffic) alongside the existing TCP stack, using the same socket syscalls.</t>
  </si>
  <si>
    <t>New udp.rs alongside the existing tcp.rs, reusing the existing SYS_SOCKET/SYS_BIND syscalls with a SOCK_DGRAM type.</t>
  </si>
  <si>
    <t>File manager app</t>
  </si>
  <si>
    <t>Browse, open, move, and delete files with the mouse - the single most-used app on any real desktop OS.</t>
  </si>
  <si>
    <t>A new ring-3 app built on the existing VFS syscalls (SYS_OPEN/SYS_READ/directory listing) plus the new graphics/windowing API.</t>
  </si>
  <si>
    <t>Month 2 - Graphics foundation</t>
  </si>
  <si>
    <t>VESA/VBE linear framebuffer driver - real resolution and real color depth</t>
  </si>
  <si>
    <t>Settings app - the shell every future settings panel plugs into</t>
  </si>
  <si>
    <t>Switches the display from 1990s-era 320x200 text-mode graphics to a real, modern resolution and color depth - the single biggest visual upgrade in the whole plan.</t>
  </si>
  <si>
    <t>The one place every future settings panel plugs into - built once, extended repeatedly.</t>
  </si>
  <si>
    <t>A new ring-3 app with a simple plugin-panel structure, reading/writing the existing SYSTEM.CFG/USERS.CFG and future service configs.</t>
  </si>
  <si>
    <t>Query VBE mode info at boot (multiboot or real-mode BIOS callback), map the returned linear framebuffer into kernel space, and replace vga_put_pixel()'s backing store.</t>
  </si>
  <si>
    <t>In-window terminal app</t>
  </si>
  <si>
    <t>Runs the existing shell inside a real, resizable window instead of taking over the whole screen in text mode.</t>
  </si>
  <si>
    <t>A thin ring-3 wrapper that renders the shell's own text output into a window via the new graphics API, forwarding keystrokes back.</t>
  </si>
  <si>
    <t>VirtIO-GPU driver - genuine 2D/3D acceleration primitives</t>
  </si>
  <si>
    <t>Text editor app</t>
  </si>
  <si>
    <t>A real, genuine 2D/3D acceleration path for VMs and cloud hosts - achievable because VirtIO's protocol is open and simple compared to real hardware GPUs.</t>
  </si>
  <si>
    <t>A basic, real text editor - needed for any actual "use this as my computer" workflow, and a showcase for the new font rendering.</t>
  </si>
  <si>
    <t>New ring-3 app on the existing file-read/write syscalls plus the new font-rendering module.</t>
  </si>
  <si>
    <t>New kernel/drivers/virtiogpu/, following the existing virtio-blk/virtio-net driver shape already in the codebase (same transport, different device type).</t>
  </si>
  <si>
    <t>App launcher / software-store front-end for the existing signed packages</t>
  </si>
  <si>
    <t>A graphical front-end for the package system that already works end-to-end - the missing piece is only the UI.</t>
  </si>
  <si>
    <t>New ring-3 app calling the existing pkg install logic, listing available signed packages from a repository.</t>
  </si>
  <si>
    <t>New framebuffer-based graphics syscall API, designed to hand off to a GPU later without a rewrite</t>
  </si>
  <si>
    <t>Replaces today's SYS_GFX_PUT_PIXEL-style calls with a real, framebuffer-based API that can hand off to GPU acceleration later without every app rewriting its own drawing code.</t>
  </si>
  <si>
    <t>Graphical login screen</t>
  </si>
  <si>
    <t>New syscalls in the existing kernel/arch/x86/cpu/syscall.c dispatch table, backed by the new framebuffer/GPU driver underneath.</t>
  </si>
  <si>
    <t>Replaces the current text-mode login prompt with a real, graphical one - the first thing any user sees.</t>
  </si>
  <si>
    <t>A privileged ring-3 app run before the desktop shell starts, using the existing SYS_LOGIN syscall underneath a new graphical form.</t>
  </si>
  <si>
    <t>Month 4 - Server &amp; admin UI</t>
  </si>
  <si>
    <t>Shared-memory IPC primitive for fast pixel handoff between the compositor and apps</t>
  </si>
  <si>
    <t>Network and firewall settings panel</t>
  </si>
  <si>
    <t>Graphical control for the new firewall and existing network config, instead of editing config files by hand.</t>
  </si>
  <si>
    <t>Lets the compositor and an app share a block of memory directly for pixel data instead of copying every frame through a syscall - the real difference between laggy and smooth.</t>
  </si>
  <si>
    <t>A panel plugged into the Settings app, reading/writing the firewall rule table from the kernel-side firewall task.</t>
  </si>
  <si>
    <t>A new SYS_SHM_CREATE/SYS_SHM_MAP syscall pair building on the existing per-process page-directory model, mapping the same physical pages into two processes' address spaces.</t>
  </si>
  <si>
    <t>User and permissions management panel</t>
  </si>
  <si>
    <t>A graphical useradd-equivalent - create accounts, set admin/non-admin status, without needing the shell.</t>
  </si>
  <si>
    <t>A Settings-app panel calling the existing USERS.CFG read/write logic already proven in kernel/rust/users.rs.</t>
  </si>
  <si>
    <t>Month 3 - Kernel support for apps</t>
  </si>
  <si>
    <t>App-to-app messaging primitive, beyond today's pipes</t>
  </si>
  <si>
    <t>A structured way for one app to send another a message, not just raw bytes - the backbone of things like "the file manager tells the text editor to open a file."</t>
  </si>
  <si>
    <t>Log viewer app, reading the new structured kernel logs</t>
  </si>
  <si>
    <t>Build on the existing pipe/SYS_PIPE infrastructure, adding message framing and a simple addressing scheme by process ID or registered service name.</t>
  </si>
  <si>
    <t>A graphical way to read the new structured kernel logs - the visible half of "why did this crash."</t>
  </si>
  <si>
    <t>New ring-3 app querying the new log-query syscall, with basic filtering/search.</t>
  </si>
  <si>
    <t>Service manager panel showing what's running, crashed, or restarting</t>
  </si>
  <si>
    <t>Audio mixing support so multiple apps can share one output</t>
  </si>
  <si>
    <t>Shows what novainit is actually supervising right now, instead of that state only being visible in a log.</t>
  </si>
  <si>
    <t>Lets multiple apps play sound at once through the one physical AC97 output, instead of only one program owning the audio device at a time.</t>
  </si>
  <si>
    <t>A Settings-app panel querying novainit's own status via a new, small query syscall or shared status table.</t>
  </si>
  <si>
    <t>A mixing buffer that sums multiple apps' PCM streams before handing the result to the existing AC97 driver.</t>
  </si>
  <si>
    <t>Month 5 - Power-user &amp; system apps</t>
  </si>
  <si>
    <t>Device manager listing connected NVMe/USB/Wi-Fi hardware</t>
  </si>
  <si>
    <t>Lets a user actually see what hardware the machine has, using the new drivers from the kernel track's Month 5.</t>
  </si>
  <si>
    <t>A Settings-app panel querying the existing driver-registration table for currently-registered devices.</t>
  </si>
  <si>
    <t>Per-process resource limits (memory/CPU quotas) as a real scheduler feature</t>
  </si>
  <si>
    <t>Stops one runaway process from starving the whole machine, by giving the scheduler real memory/CPU quotas to enforce.</t>
  </si>
  <si>
    <t>Extend process_t (kernel/task/process.h) with quota fields, checked in the existing scheduler tick and the heap allocator's own allocation path.</t>
  </si>
  <si>
    <t>Activity/performance monitor app</t>
  </si>
  <si>
    <t>Shows CPU/memory/process activity live - the "why is my machine slow" tool every real OS has.</t>
  </si>
  <si>
    <t>A new ring-3 app polling the scheduler/process-table state via a new, read-only query syscall.</t>
  </si>
  <si>
    <t>Month 4 - Server &amp; security core</t>
  </si>
  <si>
    <t>Mandatory access control enforcement, extending the existing per-process capability model</t>
  </si>
  <si>
    <t>A second, stricter layer of confinement beyond today's capability lists - an app can't do anything outside its own declared profile, even if a bug tries to.</t>
  </si>
  <si>
    <t>Accessibility basics: font scaling, high-contrast mode</t>
  </si>
  <si>
    <t>A new policy table checked in the existing syscall entry path alongside the existing allowed_files[]/allowed_hosts[] checks, loaded from a per-app profile file.</t>
  </si>
  <si>
    <t>Font scaling and high-contrast mode - a real, not-optional baseline for low vision, and cheap once font rendering exists.</t>
  </si>
  <si>
    <t>Global settings read by the font-rendering module and the compositor's own color choices.</t>
  </si>
  <si>
    <t>A real, stateful firewall in the network stack</t>
  </si>
  <si>
    <t>Multi-window productivity polish - refining window snapping</t>
  </si>
  <si>
    <t>Blocks or allows network traffic based on rules and connection state, not just "is this port open" - the baseline expectation for any networked machine.</t>
  </si>
  <si>
    <t>Refines the existing window-snapping behavior - smoother edges, better multi-monitor-ready geometry.</t>
  </si>
  <si>
    <t>A new filtering stage in the existing tcp.rs/ip.c receive path, checking a rule table before a packet is accepted.</t>
  </si>
  <si>
    <t>Direct refinement of wm-rs's own existing snap logic.</t>
  </si>
  <si>
    <t>Month 6 - First impressions</t>
  </si>
  <si>
    <t>Graphical installer flow</t>
  </si>
  <si>
    <t>The user-facing wizard for "install NovaOS on this machine," pairing with the kernel-side partitioning engine.</t>
  </si>
  <si>
    <t>A ring-3 app calling the new installer engine, walking the user through disk selection, account creation, and install progress.</t>
  </si>
  <si>
    <t>Structured, queryable kernel logging subsystem</t>
  </si>
  <si>
    <t>Crash reporter UI</t>
  </si>
  <si>
    <t>Replaces the plain serial-port log stream with real, timestamped, queryable, per-service log entries - the difference between "why did this crash" being answerable or not.</t>
  </si>
  <si>
    <t>Shows a real crash report to the user instead of the machine just quietly rebooting.</t>
  </si>
  <si>
    <t>A ring-buffer log store in the kernel with a new query syscall, feeding both the existing kernel_log() call sites and novainit's own service output.</t>
  </si>
  <si>
    <t>A ring-3 app shown automatically at boot when a pending crash record is found, reading the exported file.</t>
  </si>
  <si>
    <t>"Check for updates" / apply-update UI</t>
  </si>
  <si>
    <t>The user-facing half of the new atomic update mechanism.</t>
  </si>
  <si>
    <t>Package-repository network protocol support, server side</t>
  </si>
  <si>
    <t>A Settings-app panel calling the update mechanism, showing progress and confirming before applying.</t>
  </si>
  <si>
    <t>The server-side counterpart to the existing pkg install-http client - lets a NovaOS machine serve signed packages to others.</t>
  </si>
  <si>
    <t>A server built on the existing kernel/rust/http.rs/TCP stack, serving from a directory of already-signed .PKG files.</t>
  </si>
  <si>
    <t>First-run setup wizard - accounts, network, preferences</t>
  </si>
  <si>
    <t>Walks a new user through account creation, network setup, and preferences on first boot.</t>
  </si>
  <si>
    <t>Extends the existing firstrun.c concept into a graphical ring-3 app, calling the same underlying account-creation logic.</t>
  </si>
  <si>
    <t>Month 5 - Driver breadth &amp; performance</t>
  </si>
  <si>
    <t>NVMe driver</t>
  </si>
  <si>
    <t>Total</t>
  </si>
  <si>
    <t>Modern SSD storage support - real laptops and servers use NVMe almost exclusively now.</t>
  </si>
  <si>
    <t>New kernel/drivers/nvme/, following the existing virtio-blk driver's "expose a block device to the VFS" shape.</t>
  </si>
  <si>
    <t>Full UI QA pass and end-user documentation</t>
  </si>
  <si>
    <t>A dedicated pass testing every app together, plus writing the end-user guide.</t>
  </si>
  <si>
    <t>Process work across every app built in the interface track.</t>
  </si>
  <si>
    <t>USB 3.0 (xHCI) driver</t>
  </si>
  <si>
    <t>Replaces today's USB 1.1-only (UHCI) support with real, high-speed USB for any modern external drive, webcam, or peripheral.</t>
  </si>
  <si>
    <t>New kernel/drivers/xhci/, reusing the existing UHCI driver's overall enumerate-the-root-hub structure.</t>
  </si>
  <si>
    <t>Wi-Fi driver for at least one common chipset</t>
  </si>
  <si>
    <t>Wireless networking - a real, practical gap for any laptop-class hardware target.</t>
  </si>
  <si>
    <t>New driver feeding into the existing network stack at the same layer RTL8139/virtio-net do today.</t>
  </si>
  <si>
    <t>Per-driver locking pass - replacing today's intentionally coarse filesystem/driver locks</t>
  </si>
  <si>
    <t>Replaces today's coarse, whole-filesystem locks with fine-grained ones so multiple cores can genuinely work on different files/drivers at once.</t>
  </si>
  <si>
    <t>Add locks scoped to each driver's own static state, following the same SpinLock&lt;T&gt; pattern already used for the process table and PMM.</t>
  </si>
  <si>
    <t>SMP scaling validation beyond today's two-CPU test configuration</t>
  </si>
  <si>
    <t>Confirms the scheduler and locking hold up with more than the two CPUs tested so far - real server hardware often has far more cores.</t>
  </si>
  <si>
    <t>Test-configuration work (QEMU -smp N for higher N), watching for lock contention or correctness issues the current 2-CPU testing wouldn't surface.</t>
  </si>
  <si>
    <t>% Complete</t>
  </si>
  <si>
    <t>Month 6 - Release hardening</t>
  </si>
  <si>
    <t>Atomic OS update mechanism - safe apply and rollback, kernel/bootloader hooks</t>
  </si>
  <si>
    <t>Lets the whole OS update safely - if power is lost mid-update, the machine boots the old, working version instead of a half-written one.</t>
  </si>
  <si>
    <t>Build on the existing package-signing infrastructure (kernel/rust/pkgsign.rs) plus the existing FAT32 journal, treating an update as a signed package applied to a secondary boot slot.</t>
  </si>
  <si>
    <t>Crash-dump auto-export hooks feeding the user-facing crash reporter</t>
  </si>
  <si>
    <t>Connects the existing kernel-only crash-dump recorder to something a user can actually see, instead of it only living on a hidden disk partition.</t>
  </si>
  <si>
    <t>A boot-time check extending the existing "pending crash" flag check, copying the crash record to a well-known file the new crash-reporter app can read.</t>
  </si>
  <si>
    <t>Full kernel security and regression audit</t>
  </si>
  <si>
    <t>A deliberate, dedicated pass re-checking every capability/permission boundary added across the whole plan before calling the kernel release-ready.</t>
  </si>
  <si>
    <t>Re-run and extend the existing test_runner.py assertion suite, plus manual review of every new syscall's own permission checks.</t>
  </si>
  <si>
    <t>On-disk partitioning/formatting engine backing the installer</t>
  </si>
  <si>
    <t>The actual disk-writing logic behind "install NovaOS to this machine" - partitioning and formatting a real disk, not just booting a prebuilt test image.</t>
  </si>
  <si>
    <t>A tool built on the existing tools/build-disk-image.sh logic and the existing FAT32/journal code, adapted to write to a real block device.</t>
  </si>
  <si>
    <t>Overall</t>
  </si>
  <si>
    <t>Kernel Track by month</t>
  </si>
  <si>
    <t>Interface Track by month</t>
  </si>
  <si>
    <t>Language mix (kernel + interface tasks)</t>
  </si>
  <si>
    <t>Kernel tasks</t>
  </si>
  <si>
    <t>Interface tasks</t>
  </si>
  <si>
    <t>userland/ui-rs (libui.rlib): Color/ThemePalette (Dark/Light/HighContrast), 8-pt spacing scale, 5x7 printable ASCII typography, WidgetThemeSpec, Surface/BufferSurface32/8 drawing helpers. Linked into wm-rs.</t>
  </si>
  <si>
    <t>Supervised under novainit as PID 1 via SERVICES.CFG (restart=always, trusted=yes). Delegated can_open_any_file/can_spawn capabilities. exit/logout commands hooked for session respawn.</t>
  </si>
  <si>
    <t>Ported wm-rs to SYS_FB_* framebuffer graphics API. Renders 32-bit XRGB into BufferSurface32 with zero per-pixel syscalls; single-syscall present via SYS_FB_PRESENT. Tested on 1024x768 and 320x200.</t>
  </si>
  <si>
    <t>New no_std font module (userland/ui-rs/src/font.rs) with multiple sizes (8px Small, 16px Regular, 24px Large, scalable Vector), proportional &amp; monospace metrics, subpixel and 3x3 supersampled area antialiasing, analytical vector stroke rasterizer. Called from wm-rs compositor and UI widgets.</t>
  </si>
  <si>
    <t>New multi-shape cursor module (userland/ui-rs/src/cursor.rs) supporting 10 shapes (Arrow, Pointer, I-Beam, Move, Resize NS/EW/NWSE/NESW, Wait, Crosshair) with 4 themes (Classic, ModernDark, ModernLight, Amber). Redesigned window chrome in userland/wm-rs/wm.rs with titlebar elevation/sheen, app icons, and control pills (Close, Maximize, Minimize).</t>
  </si>
  <si>
    <t>Persistent top-of-screen menu bar across the display (userland/ui-rs/src/menu.rs, userland/wm-rs/wm.rs). Context-aware active window menus (Terminal, Files, Editor, System), interactive dropdown overlays with pointer cursor, action dispatch via MenuClickEvent back to focused app.</t>
  </si>
  <si>
    <t>Desktop dock &amp; taskbar system (userland/ui-rs/src/dock.rs, userland/wm-rs/wm.rs). Supports pinned launchable apps (Terminal, Files, Editor, System, Settings), active window switching, minimize-to-dock and restore, running indicator pips, launch-on-click, and dynamic pinning/unpinning.</t>
  </si>
  <si>
    <t>NovaOS Graphical File Manager (userland/files-rs/files.rs, ffi.rs). Ring-3 application featuring live VFS directory listing (SYS_LIST_FILES), metadata classification (Document, Config, Executable, Package, Data), mouse selection, text preview modal (SYS_OPEN/SYS_READ), file move and delete operations (SYS_WRITE_FILE, SYS_DELETE_FILE), dual view modes (List and Grid), toolbar vector action buttons, standalone framebuffer rendering, and Window 1 compositor client view.</t>
  </si>
  <si>
    <t>NovaOS Graphical Settings App (userland/settings-rs/settings.rs, ffi.rs). Modular plugin-panel architecture supporting System &amp; Identity (SYSTEM.CFG), Accounts &amp; Users (USERS.CFG), Services &amp; Startup (SERVICES.CFG), Network &amp; Firewall (FIREWALL.CFG), and Display &amp; Themes. Features interactive sidebar navigation, field editing, binary/text serialization, BufferSurface32 rendering, and Window 4 compositor client view.</t>
  </si>
  <si>
    <t>NovaOS In-Window Terminal App (userland/term-rs/term.rs, ffi.rs). Full virtual terminal emulator running the interactive shell and command dispatcher (help, ls, cat, echo, clear, date, uname, whoami, pwd, history, run) in a real resizable window. Features ANSI 16-color SGR and escape parsing, cell-aligned cursor tracking, line editing with command history (Up/Down) and Tab completion, dynamic column/row rewrapping, scrollback buffer, zero per-pixel syscall BufferSurface32 rendering, and Window 0 compositor client view.</t>
  </si>
  <si>
    <t>NovaOS Graphical Text Editor App (userland/edit-rs/editor.rs, ffi.rs). Multi-line text buffer model with line insertion, line splitting, backspace line merging, cursor navigation, and boundary clamping. Features VFS file I/O operations (SYS_OPEN, SYS_READ, SYS_CLOSE, SYS_WRITE_FILE), advanced multi-size typography showcase (Mono 8x16, Sans 8x16, Small 8x8, Large 12x24), line numbers gutter with active line accentuation, lightweight code syntax highlighting, top interactive toolbar ([New], [Open], [Save], [Cut], [Copy], [Paste], [Font: ...]), bottom status bar with statistics, zero per-pixel syscall BufferSurface32 rendering, and Window 2 compositor client view.</t>
  </si>
  <si>
    <t>NovaOS Graphical Software Store &amp; App Launcher (userland/store-rs/store.rs, crypto.rs, ffi.rs, STORE.ELF). Pure #![no_std] graphical front-end for the package system. Features package manifest parsing, HMAC-SHA256 cryptographic signature verification (RFC 2104/6234), install database management (INSTALL.DB), package installation and removal, direct application launching via SYS_EXEC, in-kernel HTTP package repository telemetry &amp; controls via SYS_PKGREPO_CTL (status, port 8080, requests, packages served), category filtering (Productivity, Games, Utilities, System), search query matching, package inspector panel, zero per-pixel syscall BufferSurface32 rendering, and Window 3 compositor client view.</t>
  </si>
  <si>
    <t>NovaOS Graphical Login Screen and Display Manager (userland/login-rs/login.rs, ffi.rs, LOGIN.ELF). Pure #![no_std] privileged ring-3 display manager running before the desktop environment. Features persistent user account parsing from USERS.CFG (NVUS magic) and SYSTEM.CFG (NVCF magic), authentication and identity isolation via SYS_LOGIN and SYS_GETUID (persisted uid 700, admin uid 800), multi-account switcher with user avatar badges and custom user entry, secure password input with bullet masking and show/hide toggle, real-time clock integration (SYS_RTC_READ) with hero digital clock and calendar date, session selector (Window Manager WM.ELF or Console Shell SHELL.ELF via SYS_EXEC), power management controls (ACPI shutdown via SYS_SHUTDOWN and reboot), zero per-pixel syscall BufferSurface32 rasterization conforming to NovaOS Design System.</t>
  </si>
  <si>
    <t>NovaOS Network &amp; Firewall Settings Panel in Settings App (userland/settings-rs/settings.rs, ffi.rs, SETTINGS.ELF). Pure #![no_std] graphical control panel plugged into the modular Settings shell. Live synchronization with kernel-side stateful packet filter via SYS_FW_INFO and SYS_FW_CTL (NOVA_FW_OP_GET_RULE, NOVA_FW_OP_SET_POLICY, NOVA_FW_OP_ADD_RULE, NOVA_FW_OP_DEL_RULE, NOVA_FW_OP_FLUSH_RULES, NOVA_FW_OP_FLUSH_CONNS). Displays live firewall status, inbound/outbound default policy toggles, full rule criteria table (Action, Dir, Proto, Source/Dest CIDR, Port ranges, TCP/connection state, hit counters), quick preset buttons (+ SSH 22, + HTTP 80), and rule deletion. Features full network adapter hardware and IPv4 addressing configuration (eth0 RTL8139 / Virtio-Net, MAC 52:54:00:12:34:56, 10.0.2.15/24, gateway 10.0.2.2, DNS 10.0.2.3), bidirectional persistence to FIREWALL.CFG, and zero per-pixel syscall BufferSurface32 rendering across 3 interactive sub-tabs.</t>
  </si>
  <si>
    <t>NovaOS User and Permissions Management Panel in Settings App (userland/settings-rs/settings.rs, crypto.rs, ffi.rs, SETTINGS.ELF). Pure #![no_std] graphical useradd equivalent and account administration panel plugged into the modular Settings shell. Full binary read/write interoperability with USERS.CFG (magic NVUS, 716 bytes, up to 8 accounts) matching kernel/rust/users.rs format. Features standalone cryptographic authentication with RFC 6234 SHA-256, RFC 2104 HMAC-SHA256, and RFC 8018 PBKDF2-HMAC-SHA256 with 4096 iterations and per-account salt derivation. Graphical account list with avatar badges, role indicators, and inspector card. Graphical useradd modal with quick presets (Alice, Bob, Operator, Guest), password masking, confirmation validation, and automatic UID assignment. Role switcher toggling Administrator (gid 0) vs Standard User (gid = uid / 1000) with last-administrator safeguard preventing accidental lockout. Minimum account deletion safeguard ensuring system retains at least one account. Zero per-pixel syscall BufferSurface32 rendering.</t>
  </si>
  <si>
    <t>NovaOS Graphical Structured Kernel Log Viewer (userland/klog-rs/klog.rs, ffi.rs, build.sh, KLOG.ELF). Pure #![no_std] ring-3 graphical structured kernel log viewer for NovaOS. Integrates with the structured kernel logging subsystem via SYS_KLOG_READ (75), SYS_KLOG_WRITE (76), and SYS_KLOG_INFO (77). Features live telemetry tracking (total logged, dropped packets, buffer capacity, entry count), interactive toolbar controls ([Pause/Resume live stream], [Refresh], [+ Marker], [Clear view]), syslog severity selector pills ([ALL], [ERR+], [WARN+], [INFO+], [DEBUG]), facility filtering chips ([ALL], [kernel], [driver], [init], [net], [fs]), real-time keyword search with in-line substring hit highlighting, color-coded severity badges (Emerg, Alert, Crit, Error, Warn, Notice, Info, Debug), dedicated bottom Inspector pane with complete unclipped message, timestamp, PID, and diagnostic triage hints, zero-syscall BufferSurface32 rasterization, and BSS-backed state management ensuring 0 bytes of stack exhaustion in the 16KB userland stack.</t>
  </si>
  <si>
    <t>NovaOS Graphical Service Manager Panel (userland/settings-rs/settings.rs, ffi.rs, build.sh, SETTINGS.ELF). Pure #![no_std] ring-3 administrative panel integrated into the Settings application for real-time service supervision and lifecycle management. Communicates with PID 1 (novainit-rs) via dedicated bidirectional syscall SYS_SERVICE_STATUS (82) supporting NOVA_SVC_OP_QUERY, NOVA_SVC_OP_PUBLISH, NOVA_SVC_OP_CONTROL, and NOVA_SVC_OP_GET_ACTION. Features a dual-mode interface (Live Supervision Dashboard and SERVICES.CFG declarative editor), telemetry banner (Supervisor PID 1, total, running, restarting, crashed, stopped counts), live service list with color-coded status pills (RUNNING green, RESTARTING amber, CRASHED red, WAITING cyan, STOPPED gray), detailed service inspector (full command line, dependency chain, restart counter N/20, privilege badge Trusted vs Standard), and interactive operator lifecycle controls ([Restart Service], [Stop Service], [Start Service], [Refresh]). Rasterized directly onto BufferSurface32 without per-pixel syscall overhead, backed entirely by static BSS memory ensuring 0-byte stack exhaustion within the 16KB userland stack budget.</t>
  </si>
  <si>
    <t>NovaOS Graphical Device Manager Panel (userland/settings-rs/settings.rs, ffi.rs, build.sh, SETTINGS.ELF, userland/libc/include/nova_dev_abi.h, kernel/rust/devman.rs). Pure #![no_std] ring-3 administrative panel integrated into the Settings application (PanelKind::Devices) listing connected hardware across PCI and ISA buses with live driver registration inspection. Communicates with kernel device engine via SYS_DEV_INFO (83) supporting GET_SUMMARY, GET_DRIVERS, and GET_DEVICES. Features dual-mode view (Interactive Hardware Tree and Registered Drivers Table), telemetry banner cards (NVMe SSD PCI 0:9.0, xHCI USB 3.0 Host 8 Ports PCI 0:6.0, Wi-Fi 802.11 Adapter PCI 0:5.0, Driver Count), 8-category filter chips (All, Storage, Network, USB, Display, Audio, Input, System), interactive device table with status pills (ONLINE, STANDBY, OFFLINE), detailed hardware inspector card (bus location, vendor/product IDs, driver binding, init phase, MMIO base, IRQ, specifications), and on-demand [Rescan] hardware inventory synchronization. Rasterized directly onto BufferSurface32 with zero per-pixel syscall overhead and backed by static BSS memory ensuring 0-byte stack exhaustion within the 16KB userland stack budget.</t>
  </si>
  <si>
    <t>NovaOS Graphical Activity &amp; Performance Monitor App (userland/actmon-rs/actmon.rs, ffi.rs, build.sh, ACTMON.ELF, SYSINFO.ELF, userland/libc/include/nova_proc_abi.h, kernel/rust/procman.rs). Pure #![no_std] ring-3 graphical system activity monitor querying scheduler state and physical memory telemetry via dedicated syscall SYS_PROC_INFO (84) supporting NOVA_PROC_OP_GET_SYSINFO, NOVA_PROC_OP_GET_TABLE, and NOVA_PROC_OP_GET_ENTRY. Features a 4-view tabbed interface ([Processes], [CPU &amp; Performance], [Memory &amp; System], [System Info]), real-time telemetry banner cards (CPU usage gauge with live sparkline trend, physical memory gauge with used/total MB and percentage, process count breakdown across Total/Running/User/Kernel, and SMP active cores), 4 category filter chips (All, Apps (User), Kernel Tasks, Active (&gt;0%)), real-time substring search filtering, interactive column sorting (PID, Name, CPU %, Memory footprint), detailed process inspector card (PID, Name, execution state, security context UID/GID, memory pages, heap allocation, CPU ticks, window quota usage %), and responsive status bar with live summary. Rasterized directly onto BufferSurface32 without per-pixel syscall overhead, backed entirely by static BSS buffers guaranteeing 0-byte stack exhaustion within the 16KB userland stack budget. Verified via make actmon-test (10 host tests: 4 kernel + 6 app) and automated QEMU boot test.</t>
  </si>
  <si>
    <t>NovaOS Global Accessibility Architecture &amp; Display Panel (userland/ui-rs/src/access.rs, color.rs, cursor.rs, font.rs, lib.rs, userland/wm-rs/wm.rs, ffi.rs, WM.ELF, userland/settings-rs/settings.rs, SETTINGS.ELF, tools/fixtures/ACCESS.CFG). Pure #![no_std] global accessibility subsystem supporting dynamic typography scaling and high-contrast visuals for low-vision accessibility. Features 4 font scaling tiers (Normal 100%, Medium 125%, Large 150%, Extra Large 200%) dynamically resizing line heights, character advances, and glyph metrics, Theme::HighContrast palette conforming to WCAG 2.1 AAA contrast ratios (&gt;7.0:1 text, pure #000000 background, pure #FFFFFF text and active titlebars, #FFFF00 focus rings, bold accents, disabled drop shadows, and 2px window borders), and high-visibility cursor (CursorTheme::HighContrast with bright yellow #FFFF00 interior and pure black outline). Fully integrated into the window manager (Wm::apply_accessibility_config, set_font_scale, set_theme) dynamically scaling titlebars, menubars, and taskbars, and into the Settings application (PanelKind::Display 'Display &amp; Accessibility') with live typography preview cards, font scale buttons, high-contrast toggle, cursor style cycler, and 64-byte persistent binary configuration (ACCESS.CFG with NVAC magic and 16-bit CRC checksum). Zero per-pixel syscall overhead rasterized directly onto BufferSurface32 and backed by static BSS memory within the 16KB userland stack budget. Verified via make ui-test (23 tests), make wm-test (10 tests), make settings-test (21 tests), and automated QEMU boot test.</t>
  </si>
  <si>
    <t>NovaOS Multi-Window Snapping Polish &amp; Tiling Subsystem (userland/wm-rs/wm.rs, ffi.rs, WM.ELF, userland/ui-rs/src/menu.rs). Pure #![no_std] refined window snapping and tiling engine featuring expanded SnapState (Normal, Left, Right, Maximize, TopLeft, TopRight, BottomLeft, BottomRight), panel-aware WorkArea and multi-monitor-ready MonitorGeometry abstractions respecting top menubar (y=24) and bottom taskbar (y=732), smoother edges with gapless non-overlapping quadrant and half coverage, interactive snap preview ghost outline overlay with accent stroke, titlebar Maximize button toggle ('[]') with floating pre_snap geometry preservation, proportional cursor placement on un-snap preventing abrupt jumps, double-click titlebar maximize toggle, automated tiling modes (TileMode::SideBySide, Grid2x2, Cascade), and menu action dispatch (ACTION_WINDOW_SNAP_LEFT/RIGHT/TOP_LEFT/TOP_RIGHT/BOTTOM_LEFT/BOTTOM_RIGHT/RESTORE/TILE_GRID/CASCADE). Fully verified via make wm-test (17 host tests) and automated QEMU boot test.</t>
  </si>
  <si>
    <t>NovaOS Graphical Installer Flow (userland/installer-rs/installer.rs, ffi.rs, crypto.rs, build.sh, tools/fixtures/INSTALL.ELF). Pure #![no_std] ring-3 graphical installer wizard walking the user through live OS installation. Features a 6-step guided wizard state machine: 1) Welcome &amp; System Overview with live hardware autodetection (x86 32-bit SMP cores, physical RAM, ATA/VirtIO/NVMe block devices, VESA linear framebuffer) and hardware prerequisite validation; 2) Target Disk Selection &amp; Partition Layout with block device selector (/dev/ata0, /dev/vda, /dev/nvme0n1), partition presets (Standard 64/32/4/1 MB, Minimal 32/16/2/1 MB, Workstation 128/64/8/2 MB), proportional visual color-coded partition bar gauge, and SYS_DISK_INSTALL dry-run geometry validation; 3) User Account &amp; System Configuration with hostname input (novaos), administrator username (admin), password masking with confirmation matching and strength scoring, pure #![no_std] PBKDF2-HMAC-SHA256 password hashing with random salt synthesis for USERS.CFG (NVUS magic), initial SYSTEM.CFG generation (NVCF magic), and default desktop session selector (WM.ELF vs SHELL.ELF); 4) Summary &amp; Pre-Install Confirmation reviewing complete blueprint with prominent caution warning and authorization safety toggle; 5) Live Installation Progress engine driving SYS_DISK_INSTALL with animated 0-100% progress bar, stage indicator checklists, and live scrolling status log; 6) Installation Success completion screen with completion badge, summary metrics, and [Reboot System] / [Quit to Shell] actions. Direct BufferSurface32 rendering with zero per-pixel syscalls, backed by static BSS memory within the 16KB userland stack limit. Includes kernel FAT32 cluster allocator optimization in kernel/fs/fat32.c eliminating sector scan I/O bottleneck. Verified via make installer-test (10 host tests) and automated QEMU boot test (265/265 assertions passing).</t>
  </si>
  <si>
    <t>NovaOS Graphical Crash Reporter &amp; Diagnostic Inspector (userland/crashrep-rs/crashrep.rs, parser.rs, ffi.rs, build.sh, tools/fixtures/CRASHREP.ELF, tools/fixtures/CRASH.ELF). Pure #![no_std] ring-3 graphical problem reporter and crash dump inspector shown automatically at boot or on-demand when a pending panic record is found on disk (/CRASHDMP.TXT and /CRASHDMP.DAT). Features: 1) Prominent Critical Alert banner card and window frame with problem diagnosis; 2) 4-tab interactive navigation across Overview (reason, exception vector, faulting EIP, CR2 fault address, error code, and failure assessment), CPU Registers (full 16-register CPU snapshot with EIP/CR2/INT_NO highlighting and EFLAGS decoding), Call Stack (EBP frame backtrace chain with symbolic module classifications across kernel init, paging, VFS, drivers, and userland), and Raw Report (scrollable monospace view of /CRASHDMP.TXT with line numbers); 3) Bottom action toolbar with [Dismiss], [Clear Record] driving SYS_CRASHDUMP_CTL (80) op 4, and [Reboot]; 4) Zero-syscall BufferSurface32 direct rasterization backed entirely by static BSS buffers within the 16KB userland stack budget; 5) Integrated boot notice and interactive commands ('crash', 'crash gui') in userland/shell/shell.c and userland/ring3-shell/shell.c. Verified via make crashrep-test (9 host tests) and automated QEMU boot test (270/270 assertions passing).</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</si>
  <si>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</si>
  <si>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Graphical Software Updates Panel (userland/settings-rs/settings.rs, ffi.rs, build.sh, SETTINGS.ELF). Pure #![no_std] ring-3 administrative panel integrated into the Settings application (PanelKind::Updates) for atomic OS updates and dual boot-slot management. Interfaces with the kernel atomic update engine via SYS_OS_UPDATE (79) supporting NOVA_UPDATE_OP_STATUS, NOVA_UPDATE_OP_STAGE_AND_APPLY, NOVA_UPDATE_OP_CONFIRM, and NOVA_UPDATE_OP_ROLLBACK. Features: 1) Active boot slot telemetry banner displaying current partition (Slot A NOVAOS.BIN vs Slot B NOVAOS_B.BIN), health state (Normal, Testing with 3-attempt watchdog countdown, or Rolled Back), and fallback partition; 2) Dual-slot side-by-side architecture visualizer showing partition files, active/staging roles, and version records; 3) Full update workflow state machine (Idle -&gt; Checking -&gt; Available -&gt; ConfirmDialog -&gt; Applying -&gt; Complete) with 4-stage progress visualization (cryptographic HMAC-SHA256 signature verification, binary staging, write-ahead journal commit, and watchdog arming); 4) Interactive trial boot health controls ([Confirm System Healthy] and [Rollback to Previous Slot]) for test-mode verification; 5) Zero-syscall BufferSurface32 direct rasterization backed entirely by static BSS memory within the 16KB userland stack budget. Verified via make settings-test (24 host unit tests) and automated headless QEMU boot test.</t>
  </si>
  <si>
    <t>NovaOS First-Run Setup Wizard (userland/firstrun-rs/firstrun.rs, crypto.rs, ffi.rs, build.sh, tools/fixtures/FIRSTRUN.ELF, tools/fixtures/SETUP.ELF). Pure #![no_std] ring-3 graphical first-run setup wizard extending the original firstrun.c architecture into a modern multi-step guided setup flow. Features: 1) Hardware telemetry &amp; welcome view (CPU vendor/model/cores, RAM capacity, detected storage media, network adapters); 2) Machine identity configuration (hostname validation, init executable selection, SYSTEM.CFG serialization with 'NVCF' magic); 3) Primary administrator account setup (UID 0 / GID 0, real RFC 8018 PBKDF2-HMAC-SHA256 hashing with 4096 iterations, cryptographic salt derivation, USERS.CFG serialization with 'NVUS' magic); 4) Network configuration (DHCP vs static IPv4 address/gateway/DNS, stateful firewall policy generation, FIREWALL.CFG serialization); 5) Visual preferences &amp; accessibility (Theme selection [Dark, Light, HighContrast], font scaling [100%, 125%, 150%, 200%], cursor themes [White, Amber, Retro], ACCESS.CFG persistence with CRC checksum); 6) Review &amp; deployment summary with progressive atomic writing of all configuration files; 7) Setup completion view offering direct launch of the Graphical Desktop (WM.ELF) or Developer Shell (SHELL.ELF); 8) Zero-syscall BufferSurface32 rasterization adhering to the 16KB userland stack budget by utilizing static BSS memory. Verified via make firstrun-test (8 host unit tests) and automated QEMU boot test.</t>
  </si>
  <si>
    <t>NovaOS Full UI QA Pass &amp; End-User Documentation (tools/tests/run_ui_qa_pass.sh, make ui-qa, docs/USER_GUIDE.md, RozeHub Documentation Database &amp; Local Server). Completed comprehensive QA testing pass verifying all 13 ring-3 applications and graphical subsystems developed across Months 1-6: 1) Shared UI Design System (userland/ui-rs - 23 host unit tests); 2) Window Manager &amp; Compositor with 8-zone snapping and tiling (userland/wm-rs - 17 host tests); 3) File Manager (userland/files-rs - 4 host tests); 4) In-Window Terminal Emulator (userland/term-rs - 5 host tests); 5) Monospace Text Editor (userland/edit-rs - 5 host tests); 6) Software Store &amp; Package Manager (userland/store-rs - 6 host tests); 7) Settings Shell &amp; Admin Panels (userland/settings-rs - 24 host tests); 8) Graphical Login &amp; Session Manager (userland/login-rs - 6 host tests); 9) Structured Kernel Log Viewer (userland/klog-rs - 12 host tests); 10) Activity Monitor &amp; Resource Meters (userland/actmon-rs - 10 host tests); 11) Graphical Installer Wizard (userland/installer-rs - 10 host tests); 12) Graphical Crash Reporter (userland/crashrep-rs - 9 host tests); 13) First-Run Setup Wizard (userland/firstrun-rs - 10 host tests). Total: 141 UI unit tests passing across all 13 modules with 100% pass rate. Authored complete, authoritative 8-chapter End-User Manual (docs/USER_GUIDE.md) and seeded comprehensive production documentation into RozeHub with 8 sections and 21 pages, running live on http://127.0.0.1:8000/docs/novaos. Verified via make ui-qa and automated QEMU boot test (275/275 assertions passing).</t>
  </si>
  <si>
    <t>Comprehensive Automated Boot-Time Test Suite Expansion (tools/python/test_runner.py, test: target in Makefile). Maintained and extended NovaOS's strict 'verify, don't assume' discipline by expanding the structured Python test runner to cover every single feature across both Kernel and Interface tracks as they landed. Added 42 new granular assertions across core hardware, kernel subsystems, and all 13 ring-3 applications, scaling the suite from 275 to 317 total automated assertions with 100% pass rate: 1) Kernel foundation &amp; hardware: interrupt gate 0x80 installation with DPL 3, 8254 PIT timer 100 Hz calibration, PS/2 mouse IRQ12 packet streaming, ATA LBA28 PIO detection, ACPI MADT 2-core SMP verification, ACPI S5 shutdown control block discovery, in-kernel DNS UDP resolution, FAT32 write-ahead journal clean recovery, journal self-test atomicity/replay, and crash dump auto-export; 2) Month 3 Core apps: File Manager (files_metadata, files_hit_testing, files_preview, files_move_delete, files_rendering), Terminal (term_grid, term_wrap, term_ansi, term_history, term_dispatch, term_rendering), Text Editor (edit_buffer, edit_backspace, edit_vfs_io, edit_font_modes, edit_mouse_toolbar, edit_rendering), Package Store (store_manifest, store_crypto, store_db_state, store_search, store_telemetry, store_rendering), and Login Screen (login_bad_password, login_uid_transition, login_admin_auth, login_masking, login_rendering); 3) Month 6 First impressions: First-Run Setup Wizard (firstrun_identity, firstrun_account_synthesis, firstrun_cfg_generation). Automated headless QEMU boot test completes in ~91 seconds, verifying all 317 assertions with 0 failures and 0 panics.</t>
  </si>
  <si>
    <t>Desktop &amp; Server Editions Split Architecture from Shared Kernel (tools/build-disk-image.sh, Makefile, tools/tests/run_editions_test.sh, userland/shell/firstrun.c, kernel/task/exec_trust_demo.c, kernel/task/sandbox_demo.c, tools/python/test_runner.py). Implemented dual-install profile architecture (Desktop vs Server) from a 100% shared kernel binary (novaos.bin / novaos.iso): 1) Build-time profile engine (tools/build-disk-image.sh): supports --profile=desktop|server, positional profile arguments, and PROFILE environment variables. In desktop profile (disk.img), installs full graphical desktop suite (WM.ELF, GUI.ELF, FILES.ELF, SETTINGS.ELF, TERM.ELF, EDIT.ELF, STORE.ELF, LOGIN.ELF, INSTALL.ELF, CRASHREP.ELF, CRASH.ELF, FIRSTRUN.ELF, SETUP.ELF, ACCESS.CFG, EDITOR.PKG, GAME.PKG) and provisions /EDITION.TXT as 'NovaOS Desktop Edition (x86_32)'. In server profile (disk-server.img), strips ~6.7MB of compositor/GUI apps and desktop packages, installs headless MOTD banner (/MOTD.TXT), provisions /EDITION.TXT as 'NovaOS Server Edition (x86_32 headless)', generates server-tailored SYSTEM.CFG (81 bytes: NVCF, hostname 'novaos-server', root user 'admin', init 'NOVAINIT.ELF'), and provisions server packet filter /FIREWALL.CFG and supervisor /SERVICES.CFG while retaining core CLI tools and services (SHELL.ELF, NOVAINIT.ELF, CAT.ELF, LS.ELF, ECHO.ELF, CP.ELF, RM.ELF, SYSINFO.ELF, PING.ELF, UPDATE.ELF, KLOG.ELF, ACTMON.ELF, TPROBE.ELF, and test harnesses); 2) Kernel &amp; Ring-3 Edition Adaptation: userland/shell/firstrun.c detects /EDITION.TXT at boot and logs system edition; kernel/task/exec_trust_demo.c and kernel/task/sandbox_demo.c adapt ring-3 app selftests to edition identity, skipping GUI apps on server profile while running headless system tools (KLOG.ELF, ACTMON.ELF, MACTEST.ELF) and logging '[sandbox] PASS: Server edition profile active'; 3) Makefile &amp; Build Targets: added PROFILE ?= desktop, disk-desktop, disk-server, server-image, run-server, test-server, and test-editions targets; 4) Verification &amp; Automated Test Suite: created tools/tests/run_editions_test.sh (100% pass across 46 validation checks); extended tools/python/test_runner.py with --profile support, edition_desktop_detected (318/318 passed in 105s), and edition_server_detected / server_edition_profile_verified (247/247 passed in 87s).</t>
  </si>
  <si>
    <t>C, Rust, Python &amp; Shell</t>
  </si>
  <si>
    <t>Security Review &amp; Cross-Track Permission Boundary Audit (docs/SECURITY_REVIEW.md, kernel/security/security_audit.c, kernel/security/security_audit.h, tools/tests/run_security_audit_test.sh, Makefile). Completed comprehensive, cross-track security and permission audit across all 6 months of development: 1) Syscall authorization matrix &amp; bounds validation across all 84 system calls, enforcing high-memory kernel isolation (0xC0000000 virtual split, Page 0 IVT rejection, integer overflow/wraparound prevention via paging_user_range_ok), capability allowlists (allowed_files, allowed_hosts, can_spawn, can_open_any_file), MAC profile enforcement, and root privilege gates on mutating syscalls (SYS_OS_UPDATE, SYS_CRASHDUMP_CTL, SYS_DISK_INSTALL, SYS_FW_CTL, SYS_SHUTDOWN); 2) Least-privilege matrix across all 13 ring-3 applications (NOVAINIT.ELF, LOGIN.ELF, FIRSTRUN.ELF, SHELL.ELF, WM.ELF, FILES.ELF, SETTINGS.ELF, TERM.ELF, EDIT.ELF, STORE.ELF, KLOG.ELF, ACTMON.ELF, INSTALL.ELF, CRASHREP.ELF), verifying strict UID/GID privilege dropping, sandboxed capability confinement, and mandatory memory zeroization of plaintext password buffers in LOGIN.ELF (login.rs), FIRSTRUN.ELF (firstrun.rs), and firstrun.c; 3) Framebuffer single-owner mutual exclusion (SYS_FB_ACQUIRE/RELEASE returning -EBUSY on collision), IPC messaging sender PID/UID kernel-stamped immutability, and shared memory ACLs (SYS_SHM_GRANT); 4) Expanded in-kernel boot self-test (Phase 98, Section 5: '[ OK ] audit: cross-track application least-privilege matrix verified') and created dedicated host validation script tools/tests/run_security_audit_test.sh (make test-security) passing 10/10 checks; 5) Seeded technical documentation in RozeHub (http://127.0.0.1:8000/docs/novaos). Validated with 100% pass rate: Desktop Edition (319/319 assertions), Server Edition (248/248 assertions).</t>
  </si>
  <si>
    <t>Shell, Python &amp; C</t>
  </si>
  <si>
    <t>v1.0 Release Candidate Build &amp; Final Sign-Off Certification (docs/RELEASE_SIGNOFF_V1.0.md, release/v1.0.0/, tools/release/release_signoff.sh, Makefile). Final build-and-sign-off milestone successfully achieved - 100% of 6-Month Build Plan delivered across all tracks (56/56 tasks): 1) Release Binaries &amp; Packaging: generated production-ready release images in release/v1.0.0/: novaos.iso (3.8MB hybrid bootable ISO image: El Torito CD-ROM + BIOS/USB MBR disk), novaos-desktop.img (102MB partitioned desktop image with full 13-app GUI suite), novaos-server.img (102MB partitioned headless server image), and novaos.bin (438KB shared kernel binary); 2) Cryptographic Integrity Verification: generated and verified SHA-256 cryptographic digests (SHA256SUMS and individual .sha256 digests); 3) Automated Release Qualification Suite: author tools/release/release_signoff.sh and Makefile 'release' / 'release-check' targets executing 9 comprehensive qualification phases; 4) Documentation &amp; Changelog: authored official release qualification report docs/RELEASE_SIGNOFF_V1.0.md, updated CHANGELOG.md with full 56-feature milestone history, and updated README.md; 5) RozeHub Release Publishing: seeded v1.0.0 release notes and verification checklist in RozeHub documentation (http://127.0.0.1:8000/docs/novaos). Validated with 100% test pass rate across all suites: Desktop Edition (319/319 assertions), Server Edition (248/248 assertions), Security Audit (10/10 checks), Editions Validation (46/46 checks), and UI QA Pass (13/13 suites). Certified production ready.</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</si>
</sst>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b/>
      <sz val="11.0"/>
      <color rgb="FFFFFFFF"/>
      <name val="Arial"/>
    </font>
    <font>
      <b/>
      <sz val="18.0"/>
      <color theme="1"/>
      <name val="Arial"/>
    </font>
    <font>
      <sz val="10.0"/>
      <color theme="1"/>
      <name val="Arial"/>
    </font>
    <font>
      <i/>
      <sz val="11.0"/>
      <color rgb="FF5B6270"/>
      <name val="Arial"/>
    </font>
    <font>
      <b/>
      <sz val="10.0"/>
      <color rgb="FF5B6270"/>
      <name val="Arial"/>
    </font>
    <font>
      <b/>
      <sz val="12.0"/>
      <color rgb="FFB8722E"/>
      <name val="Arial"/>
    </font>
    <font>
      <b/>
      <sz val="10.0"/>
      <color rgb="FF1E4A87"/>
      <name val="Arial"/>
    </font>
    <font>
      <b/>
      <sz val="10.0"/>
      <color rgb="FFB8461F"/>
      <name val="Arial"/>
    </font>
    <font>
      <b/>
      <sz val="12.0"/>
      <color rgb="FF2B8C8C"/>
      <name val="Arial"/>
    </font>
    <font>
      <b/>
      <sz val="12.0"/>
      <color rgb="FF5B5FC7"/>
      <name val="Arial"/>
    </font>
    <font>
      <sz val="10.0"/>
      <color rgb="FF5B6270"/>
      <name val="Arial"/>
    </font>
    <font>
      <b/>
      <sz val="16.0"/>
      <color rgb="FFB8722E"/>
      <name val="Arial"/>
    </font>
    <font>
      <b/>
      <sz val="16.0"/>
      <color rgb="FF2B8C8C"/>
      <name val="Arial"/>
    </font>
    <font>
      <b/>
      <sz val="16.0"/>
      <color rgb="FF5B5FC7"/>
      <name val="Arial"/>
    </font>
    <font>
      <b/>
      <sz val="12.0"/>
      <color rgb="FF1B1E24"/>
      <name val="Arial"/>
    </font>
    <font>
      <b/>
      <sz val="18.0"/>
      <color rgb="FF5B5FC7"/>
      <name val="Arial"/>
    </font>
    <font>
      <b/>
      <sz val="10.0"/>
      <color rgb="FFFFFFFF"/>
      <name val="Arial"/>
    </font>
    <font>
      <b/>
      <sz val="10.0"/>
      <color theme="1"/>
      <name val="Arial"/>
    </font>
  </fonts>
  <fills count="9">
    <fill>
      <patternFill patternType="none"/>
    </fill>
    <fill>
      <patternFill patternType="lightGray"/>
    </fill>
    <fill>
      <patternFill patternType="solid">
        <fgColor rgb="FF5B5FC7"/>
        <bgColor rgb="FF5B5FC7"/>
      </patternFill>
    </fill>
    <fill>
      <patternFill patternType="solid">
        <fgColor rgb="FFB8722E"/>
        <bgColor rgb="FFB8722E"/>
      </patternFill>
    </fill>
    <fill>
      <patternFill patternType="solid">
        <fgColor rgb="FF2B8C8C"/>
        <bgColor rgb="FF2B8C8C"/>
      </patternFill>
    </fill>
    <fill>
      <patternFill patternType="solid">
        <fgColor rgb="FFE9E9EC"/>
        <bgColor rgb="FFE9E9EC"/>
      </patternFill>
    </fill>
    <fill>
      <patternFill patternType="solid">
        <fgColor rgb="FFDCE7F5"/>
        <bgColor rgb="FFDCE7F5"/>
      </patternFill>
    </fill>
    <fill>
      <patternFill patternType="solid">
        <fgColor rgb="FFF7E4D8"/>
        <bgColor rgb="FFF7E4D8"/>
      </patternFill>
    </fill>
    <fill>
      <patternFill patternType="solid">
        <fgColor rgb="FF3A3F4A"/>
        <bgColor rgb="FF3A3F4A"/>
      </patternFill>
    </fill>
  </fills>
  <borders count="3">
    <border/>
    <border>
      <left/>
      <right/>
      <top/>
      <bottom/>
    </border>
    <border>
      <left style="thin">
        <color rgb="FFD6D9DE"/>
      </left>
      <right style="thin">
        <color rgb="FFD6D9DE"/>
      </right>
      <top style="thin">
        <color rgb="FFD6D9DE"/>
      </top>
      <bottom style="thin">
        <color rgb="FFD6D9DE"/>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0"/>
    </xf>
    <xf borderId="1" fillId="3" fontId="1" numFmtId="0" xfId="0" applyAlignment="1" applyBorder="1" applyFill="1" applyFont="1">
      <alignment horizontal="left" shrinkToFit="0" vertical="center" wrapText="0"/>
    </xf>
    <xf borderId="1" fillId="4" fontId="1" numFmtId="0" xfId="0" applyAlignment="1" applyBorder="1" applyFill="1" applyFont="1">
      <alignment horizontal="left" shrinkToFit="0" vertical="center" wrapText="0"/>
    </xf>
    <xf borderId="0" fillId="0" fontId="2" numFmtId="0" xfId="0" applyAlignment="1" applyFont="1">
      <alignment shrinkToFit="0" vertical="bottom" wrapText="0"/>
    </xf>
    <xf borderId="2" fillId="0" fontId="3" numFmtId="0" xfId="0" applyAlignment="1" applyBorder="1" applyFont="1">
      <alignment horizontal="left" shrinkToFit="0" vertical="top" wrapText="1"/>
    </xf>
    <xf borderId="0" fillId="0" fontId="4" numFmtId="0" xfId="0" applyAlignment="1" applyFont="1">
      <alignment shrinkToFit="0" vertical="bottom" wrapText="0"/>
    </xf>
    <xf borderId="2" fillId="5" fontId="5" numFmtId="0" xfId="0" applyAlignment="1" applyBorder="1" applyFill="1" applyFont="1">
      <alignment horizontal="center" shrinkToFit="0" vertical="top" wrapText="1"/>
    </xf>
    <xf borderId="0" fillId="0" fontId="6" numFmtId="0" xfId="0" applyAlignment="1" applyFont="1">
      <alignment shrinkToFit="0" vertical="bottom" wrapText="0"/>
    </xf>
    <xf borderId="2" fillId="6" fontId="7" numFmtId="0" xfId="0" applyAlignment="1" applyBorder="1" applyFill="1" applyFont="1">
      <alignment horizontal="center" shrinkToFit="0" vertical="top" wrapText="1"/>
    </xf>
    <xf borderId="2" fillId="7" fontId="8" numFmtId="0" xfId="0" applyAlignment="1" applyBorder="1" applyFill="1" applyFont="1">
      <alignment horizontal="center" shrinkToFit="0" vertical="top" wrapText="1"/>
    </xf>
    <xf borderId="2" fillId="0" fontId="3" numFmtId="0" xfId="0" applyAlignment="1" applyBorder="1" applyFont="1">
      <alignment horizontal="center" shrinkToFit="0" vertical="top" wrapText="0"/>
    </xf>
    <xf borderId="2" fillId="0" fontId="3" numFmtId="0" xfId="0" applyAlignment="1" applyBorder="1" applyFont="1">
      <alignment horizontal="center" readingOrder="0" shrinkToFit="0" vertical="top" wrapText="0"/>
    </xf>
    <xf borderId="2" fillId="0" fontId="3" numFmtId="0" xfId="0" applyAlignment="1" applyBorder="1" applyFont="1">
      <alignment shrinkToFit="0" vertical="top" wrapText="0"/>
    </xf>
    <xf borderId="0" fillId="0" fontId="9" numFmtId="0" xfId="0" applyAlignment="1" applyFont="1">
      <alignment shrinkToFit="0" vertical="bottom" wrapText="0"/>
    </xf>
    <xf borderId="0" fillId="0" fontId="10" numFmtId="0" xfId="0" applyAlignment="1" applyFont="1">
      <alignment shrinkToFit="0" vertical="bottom" wrapText="0"/>
    </xf>
    <xf borderId="0" fillId="0" fontId="11" numFmtId="0" xfId="0" applyAlignment="1" applyFont="1">
      <alignment shrinkToFit="0" vertical="bottom" wrapText="0"/>
    </xf>
    <xf borderId="0" fillId="0" fontId="3" numFmtId="0" xfId="0" applyAlignment="1" applyFont="1">
      <alignment shrinkToFit="0" vertical="bottom" wrapText="0"/>
    </xf>
    <xf borderId="0" fillId="0" fontId="12" numFmtId="9" xfId="0" applyAlignment="1" applyFont="1" applyNumberFormat="1">
      <alignment shrinkToFit="0" vertical="bottom" wrapText="0"/>
    </xf>
    <xf borderId="0" fillId="0" fontId="13" numFmtId="9" xfId="0" applyAlignment="1" applyFont="1" applyNumberFormat="1">
      <alignment shrinkToFit="0" vertical="bottom" wrapText="0"/>
    </xf>
    <xf borderId="0" fillId="0" fontId="14" numFmtId="9" xfId="0" applyAlignment="1" applyFont="1" applyNumberFormat="1">
      <alignment shrinkToFit="0" vertical="bottom" wrapText="0"/>
    </xf>
    <xf borderId="0" fillId="0" fontId="15" numFmtId="0" xfId="0" applyAlignment="1" applyFont="1">
      <alignment shrinkToFit="0" vertical="bottom" wrapText="0"/>
    </xf>
    <xf borderId="0" fillId="0" fontId="16" numFmtId="9" xfId="0" applyAlignment="1" applyFont="1" applyNumberFormat="1">
      <alignment shrinkToFit="0" vertical="bottom" wrapText="0"/>
    </xf>
    <xf borderId="1" fillId="3" fontId="17" numFmtId="0" xfId="0" applyAlignment="1" applyBorder="1" applyFill="1" applyFont="1">
      <alignment shrinkToFit="0" vertical="bottom" wrapText="0"/>
    </xf>
    <xf borderId="0" fillId="0" fontId="3" numFmtId="9" xfId="0" applyAlignment="1" applyFont="1" applyNumberFormat="1">
      <alignment shrinkToFit="0" vertical="bottom" wrapText="0"/>
    </xf>
    <xf borderId="1" fillId="4" fontId="17" numFmtId="0" xfId="0" applyAlignment="1" applyBorder="1" applyFill="1" applyFont="1">
      <alignment shrinkToFit="0" vertical="bottom" wrapText="0"/>
    </xf>
    <xf borderId="1" fillId="8" fontId="17" numFmtId="0" xfId="0" applyAlignment="1" applyBorder="1" applyFill="1" applyFont="1">
      <alignment shrinkToFit="0" vertical="bottom" wrapText="0"/>
    </xf>
    <xf borderId="0" fillId="0" fontId="18" numFmtId="0" xfId="0" applyAlignment="1" applyFont="1">
      <alignment shrinkToFit="0" vertical="bottom" wrapText="0"/>
    </xf>
  </cellXfs>
  <cellStyles count="1">
    <cellStyle xfId="0" name="Normal" builtinId="0"/>
  </cellStyles>
  <dxfs count="2">
    <dxf>
      <font>
        <strike/>
        <sz val="10.0"/>
        <color rgb="FF2A7D3B"/>
        <name val="Arial"/>
      </font>
      <fill>
        <patternFill patternType="solid">
          <fgColor rgb="FFE3F1E5"/>
          <bgColor rgb="FFE3F1E5"/>
        </patternFill>
      </fill>
      <border/>
    </dxf>
    <dxf>
      <font/>
      <fill>
        <patternFill patternType="solid">
          <fgColor rgb="FFFFF6E5"/>
          <bgColor rgb="FFFFF6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pageSetUpPr fitToPage="1"/>
  </sheetPr>
  <sheetViews>
    <sheetView showGridLines="0" workbookViewId="0"/>
  </sheetViews>
  <sheetFormatPr customHeight="1" defaultColWidth="14.43" defaultRowHeight="15.0"/>
  <cols>
    <col customWidth="1" min="1" max="1" width="34.0"/>
    <col customWidth="1" min="2" max="3" width="12.0"/>
    <col customWidth="1" min="4" max="4" width="14.0"/>
    <col customWidth="1" min="5" max="7" width="12.0"/>
    <col customWidth="1" min="8" max="26" width="8.71"/>
  </cols>
  <sheetData>
    <row r="1">
      <c r="A1" s="4" t="s">
        <v>1</v>
      </c>
    </row>
    <row r="2">
      <c r="A2" s="6" t="s">
        <v>12</v>
      </c>
    </row>
    <row r="4">
      <c r="A4" s="8" t="s">
        <v>24</v>
      </c>
      <c r="C4" s="14" t="s">
        <v>3</v>
      </c>
      <c r="E4" s="15" t="s">
        <v>41</v>
      </c>
    </row>
    <row r="5">
      <c r="A5" s="16" t="s">
        <v>27</v>
      </c>
      <c r="B5" s="17">
        <f>COUNTIF('Kernel Track'!F2:F27,"Done")</f>
        <v>26</v>
      </c>
      <c r="C5" s="16" t="s">
        <v>27</v>
      </c>
      <c r="D5" s="17">
        <f>COUNTIF('Interface Track'!F2:F27,"Done")</f>
        <v>26</v>
      </c>
      <c r="E5" s="16" t="s">
        <v>27</v>
      </c>
      <c r="F5" s="17">
        <f>COUNTIF(Release!F2:F5,"Done")</f>
        <v>4</v>
      </c>
    </row>
    <row r="6">
      <c r="A6" s="16" t="s">
        <v>168</v>
      </c>
      <c r="B6" s="17">
        <f>COUNTA('Kernel Track'!F2:F27)</f>
        <v>26</v>
      </c>
      <c r="C6" s="16" t="s">
        <v>168</v>
      </c>
      <c r="D6" s="17">
        <f>COUNTA('Interface Track'!F2:F27)</f>
        <v>26</v>
      </c>
      <c r="E6" s="16" t="s">
        <v>168</v>
      </c>
      <c r="F6" s="17">
        <f>COUNTA(Release!F2:F5)</f>
        <v>4</v>
      </c>
    </row>
    <row r="7">
      <c r="A7" s="16" t="s">
        <v>186</v>
      </c>
      <c r="B7" s="18">
        <f>B5/B6</f>
        <v>1.0</v>
      </c>
      <c r="C7" s="16" t="s">
        <v>186</v>
      </c>
      <c r="D7" s="19">
        <f>D5/D6</f>
        <v>1.0</v>
      </c>
      <c r="E7" s="16" t="s">
        <v>186</v>
      </c>
      <c r="F7" s="20">
        <f>F5/F6</f>
        <v>1.00</v>
      </c>
    </row>
    <row r="9">
      <c r="A9" s="21" t="s">
        <v>200</v>
      </c>
    </row>
    <row r="10">
      <c r="A10" s="16" t="s">
        <v>27</v>
      </c>
      <c r="B10" s="17">
        <f t="shared" ref="B10:B11" si="1">B5+D5+F5</f>
        <v>56</v>
      </c>
    </row>
    <row r="11">
      <c r="A11" s="16" t="s">
        <v>168</v>
      </c>
      <c r="B11" s="17">
        <f t="shared" si="1"/>
        <v>56</v>
      </c>
    </row>
    <row r="12">
      <c r="A12" s="16" t="s">
        <v>186</v>
      </c>
      <c r="B12" s="22">
        <f>B10/B11</f>
        <v>1.00</v>
      </c>
    </row>
    <row r="14">
      <c r="A14" s="8" t="s">
        <v>201</v>
      </c>
    </row>
    <row r="15">
      <c r="A15" s="23" t="s">
        <v>0</v>
      </c>
      <c r="B15" s="23" t="s">
        <v>27</v>
      </c>
      <c r="C15" s="23" t="s">
        <v>168</v>
      </c>
      <c r="D15" s="23" t="s">
        <v>186</v>
      </c>
    </row>
    <row r="16">
      <c r="A16" s="17" t="s">
        <v>8</v>
      </c>
      <c r="B16" s="17">
        <f>COUNTIFS('Kernel Track'!A2:A1000,"Month 1 - Foundation",'Kernel Track'!F2:F1000,"Done")</f>
        <v>6</v>
      </c>
      <c r="C16" s="17">
        <f>COUNTIF('Kernel Track'!A2:A1000,"Month 1 - Foundation")</f>
        <v>6</v>
      </c>
      <c r="D16" s="24">
        <f t="shared" ref="D16:D21" si="2">IFERROR(B16/C16,0)</f>
        <v>1</v>
      </c>
    </row>
    <row r="17">
      <c r="A17" s="17" t="s">
        <v>76</v>
      </c>
      <c r="B17" s="17">
        <f>COUNTIFS('Kernel Track'!A2:A1000,"Month 2 - Graphics foundation",'Kernel Track'!F2:F1000,"Done")</f>
        <v>36</v>
      </c>
      <c r="C17" s="17">
        <f>COUNTIF('Kernel Track'!A2:A1000,"Month 2 - Graphics foundation")</f>
        <v>20</v>
      </c>
      <c r="D17" s="24">
        <f t="shared" si="2"/>
        <v>0.6428571428571429</v>
      </c>
    </row>
    <row r="18">
      <c r="A18" s="17" t="s">
        <v>111</v>
      </c>
      <c r="B18" s="17">
        <f>COUNTIFS('Kernel Track'!A2:A1000,"Month 3 - Kernel support for apps",'Kernel Track'!F2:F1000,"Done")</f>
        <v>3</v>
      </c>
      <c r="C18" s="17">
        <f>COUNTIF('Kernel Track'!A2:A1000,"Month 3 - Kernel support for apps")</f>
        <v>3</v>
      </c>
      <c r="D18" s="24">
        <f t="shared" si="2"/>
        <v>1</v>
      </c>
    </row>
    <row r="19">
      <c r="A19" s="17" t="s">
        <v>134</v>
      </c>
      <c r="B19" s="17">
        <f>COUNTIFS('Kernel Track'!A2:A1000,"Month 4 - Server &amp; security core",'Kernel Track'!F2:F1000,"Done")</f>
        <v>4</v>
      </c>
      <c r="C19" s="17">
        <f>COUNTIF('Kernel Track'!A2:A1000,"Month 4 - Server &amp; security core")</f>
        <v>4</v>
      </c>
      <c r="D19" s="24">
        <f t="shared" si="2"/>
        <v>1</v>
      </c>
    </row>
    <row r="20">
      <c r="A20" s="17" t="s">
        <v>166</v>
      </c>
      <c r="B20" s="17">
        <f>COUNTIFS('Kernel Track'!A2:A1000,"Month 5 - Driver breadth &amp; performance",'Kernel Track'!F2:F1000,"Done")</f>
        <v>5</v>
      </c>
      <c r="C20" s="17">
        <f>COUNTIF('Kernel Track'!A2:A1000,"Month 5 - Driver breadth &amp; performance")</f>
        <v>5</v>
      </c>
      <c r="D20" s="24">
        <f t="shared" si="2"/>
        <v>1</v>
      </c>
    </row>
    <row r="21" ht="15.75" customHeight="1">
      <c r="A21" s="17" t="s">
        <v>187</v>
      </c>
      <c r="B21" s="17">
        <f>COUNTIFS('Kernel Track'!A2:A1000,"Month 6 - Release hardening",'Kernel Track'!F2:F1000,"Done")</f>
        <v>4</v>
      </c>
      <c r="C21" s="17">
        <f>COUNTIF('Kernel Track'!A2:A1000,"Month 6 - Release hardening")</f>
        <v>4</v>
      </c>
      <c r="D21" s="24">
        <f t="shared" si="2"/>
        <v>1.0</v>
      </c>
    </row>
    <row r="22" ht="15.75" customHeight="1"/>
    <row r="23" ht="15.75" customHeight="1">
      <c r="A23" s="14" t="s">
        <v>202</v>
      </c>
    </row>
    <row r="24" ht="15.75" customHeight="1">
      <c r="A24" s="25" t="s">
        <v>0</v>
      </c>
      <c r="B24" s="25" t="s">
        <v>27</v>
      </c>
      <c r="C24" s="25" t="s">
        <v>168</v>
      </c>
      <c r="D24" s="25" t="s">
        <v>186</v>
      </c>
    </row>
    <row r="25" ht="15.75" customHeight="1">
      <c r="A25" s="17" t="s">
        <v>13</v>
      </c>
      <c r="B25" s="17">
        <f>COUNTIFS('Interface Track'!A2:A1000,"Month 1 - Prep",'Interface Track'!F2:F1000,"Done")</f>
        <v>2</v>
      </c>
      <c r="C25" s="17">
        <f>COUNTIF('Interface Track'!A2:A1000,"Month 1 - Prep")</f>
        <v>2</v>
      </c>
      <c r="D25" s="24">
        <f t="shared" ref="D25:D30" si="3">IFERROR(B25/C25,0)</f>
        <v>1.0</v>
      </c>
    </row>
    <row r="26" ht="15.75" customHeight="1">
      <c r="A26" s="17" t="s">
        <v>34</v>
      </c>
      <c r="B26" s="17">
        <f>COUNTIFS('Interface Track'!A2:A1000,"Month 2 - Compositor",'Interface Track'!F2:F1000,"Done")</f>
        <v>3</v>
      </c>
      <c r="C26" s="17">
        <f>COUNTIF('Interface Track'!A2:A1000,"Month 2 - Compositor")</f>
        <v>3</v>
      </c>
      <c r="D26" s="24">
        <f t="shared" si="3"/>
        <v>1.0</v>
      </c>
    </row>
    <row r="27" ht="15.75" customHeight="1">
      <c r="A27" s="17" t="s">
        <v>63</v>
      </c>
      <c r="B27" s="17">
        <f>COUNTIFS('Interface Track'!A2:A1000,"Month 3 - Core desktop apps",'Interface Track'!F2:F1000,"Done")</f>
        <v>8</v>
      </c>
      <c r="C27" s="17">
        <f>COUNTIF('Interface Track'!A2:A1000,"Month 3 - Core desktop apps")</f>
        <v>8</v>
      </c>
      <c r="D27" s="24">
        <f t="shared" si="3"/>
        <v>1.0</v>
      </c>
    </row>
    <row r="28" ht="15.75" customHeight="1">
      <c r="A28" s="17" t="s">
        <v>101</v>
      </c>
      <c r="B28" s="17">
        <f>COUNTIFS('Interface Track'!A2:A1000,"Month 4 - Server &amp; admin UI",'Interface Track'!F2:F1000,"Done")</f>
        <v>4</v>
      </c>
      <c r="C28" s="17">
        <f>COUNTIF('Interface Track'!A2:A1000,"Month 4 - Server &amp; admin UI")</f>
        <v>4</v>
      </c>
      <c r="D28" s="24">
        <f t="shared" si="3"/>
        <v>1.0</v>
      </c>
    </row>
    <row r="29" ht="15.75" customHeight="1">
      <c r="A29" s="17" t="s">
        <v>124</v>
      </c>
      <c r="B29" s="17">
        <f>COUNTIFS('Interface Track'!A2:A1000,"Month 5 - Power-user &amp; system apps",'Interface Track'!F2:F1000,"Done")</f>
        <v>4</v>
      </c>
      <c r="C29" s="17">
        <f>COUNTIF('Interface Track'!A2:A1000,"Month 5 - Power-user &amp; system apps")</f>
        <v>4</v>
      </c>
      <c r="D29" s="24">
        <f t="shared" si="3"/>
        <v>1.0</v>
      </c>
    </row>
    <row r="30" ht="15.75" customHeight="1">
      <c r="A30" s="17" t="s">
        <v>147</v>
      </c>
      <c r="B30" s="17">
        <f>COUNTIFS('Interface Track'!A2:A1000,"Month 6 - First impressions",'Interface Track'!F2:F1000,"Done")</f>
        <v>5</v>
      </c>
      <c r="C30" s="17">
        <f>COUNTIF('Interface Track'!A2:A1000,"Month 6 - First impressions")</f>
        <v>5</v>
      </c>
      <c r="D30" s="24">
        <f t="shared" si="3"/>
        <v>1.0</v>
      </c>
    </row>
    <row r="31" ht="15.75" customHeight="1"/>
    <row r="32" ht="15.75" customHeight="1">
      <c r="A32" s="21" t="s">
        <v>203</v>
      </c>
    </row>
    <row r="33" ht="15.75" customHeight="1">
      <c r="A33" s="26" t="s">
        <v>5</v>
      </c>
      <c r="B33" s="26" t="s">
        <v>204</v>
      </c>
      <c r="C33" s="26" t="s">
        <v>205</v>
      </c>
      <c r="D33" s="26" t="s">
        <v>168</v>
      </c>
    </row>
    <row r="34" ht="15.75" customHeight="1">
      <c r="A34" s="17" t="s">
        <v>23</v>
      </c>
      <c r="B34" s="17">
        <f>COUNTIF('Kernel Track'!E2:E27,"Rust")</f>
        <v>15</v>
      </c>
      <c r="C34" s="17">
        <f>COUNTIF('Interface Track'!E2:E27,"Rust")</f>
        <v>26</v>
      </c>
      <c r="D34" s="27">
        <f t="shared" ref="D34:D36" si="4">B34+C34</f>
        <v>41</v>
      </c>
    </row>
    <row r="35" ht="15.75" customHeight="1">
      <c r="A35" s="17" t="s">
        <v>20</v>
      </c>
      <c r="B35" s="17">
        <f>COUNTIF('Kernel Track'!E2:E27,"C")</f>
        <v>8</v>
      </c>
      <c r="C35" s="17">
        <f>COUNTIF('Interface Track'!E2:E27,"C")</f>
        <v>0</v>
      </c>
      <c r="D35" s="27">
        <f t="shared" si="4"/>
        <v>8</v>
      </c>
    </row>
    <row r="36" ht="15.75" customHeight="1">
      <c r="A36" s="17" t="s">
        <v>22</v>
      </c>
      <c r="B36" s="17">
        <f>COUNTIF('Kernel Track'!E2:E27,"N/A")</f>
        <v>3</v>
      </c>
      <c r="C36" s="17">
        <f>COUNTIF('Interface Track'!E2:E27,"N/A")</f>
        <v>2</v>
      </c>
      <c r="D36" s="27">
        <f t="shared" si="4"/>
        <v>5</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A1:G1"/>
    <mergeCell ref="A2:G2"/>
    <mergeCell ref="A4:B4"/>
    <mergeCell ref="C4:D4"/>
    <mergeCell ref="E4:F4"/>
    <mergeCell ref="A9:B9"/>
  </mergeCells>
  <printOptions/>
  <pageMargins bottom="0.5" footer="0.0" header="0.0" left="0.4" right="0.4" top="0.5"/>
  <pageSetup fitToHeight="0" orientation="landscape"/>
  <drawing ns1:id="rId1"/>
</worksheet>
</file>

<file path=xl/worksheets/sheet2.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2" t="s">
        <v>0</v>
      </c>
      <c r="B1" s="2" t="s">
        <v>2</v>
      </c>
      <c r="C1" s="2" t="s">
        <v>3</v>
      </c>
      <c r="D1" s="2" t="s">
        <v>4</v>
      </c>
      <c r="E1" s="2" t="s">
        <v>5</v>
      </c>
      <c r="F1" s="2" t="s">
        <v>6</v>
      </c>
      <c r="G1" s="2" t="s">
        <v>7</v>
      </c>
    </row>
    <row r="2" ht="60.0" customHeight="1">
      <c r="A2" s="5" t="s">
        <v>8</v>
      </c>
      <c r="B2" s="5" t="s">
        <v>10</v>
      </c>
      <c r="C2" s="5" t="s">
        <v>11</v>
      </c>
      <c r="D2" s="5" t="s">
        <v>15</v>
      </c>
      <c r="E2" s="9" t="s">
        <v>20</v>
      </c>
      <c r="F2" s="12" t="s">
        <v>27</v>
      </c>
      <c r="G2" s="13"/>
    </row>
    <row r="3" ht="60.0" customHeight="1">
      <c r="A3" s="5" t="s">
        <v>8</v>
      </c>
      <c r="B3" s="5" t="s">
        <v>28</v>
      </c>
      <c r="C3" s="5" t="s">
        <v>30</v>
      </c>
      <c r="D3" s="5" t="s">
        <v>33</v>
      </c>
      <c r="E3" s="10" t="s">
        <v>23</v>
      </c>
      <c r="F3" s="12" t="s">
        <v>27</v>
      </c>
      <c r="G3" s="13"/>
    </row>
    <row r="4" ht="60.0" customHeight="1">
      <c r="A4" s="5" t="s">
        <v>8</v>
      </c>
      <c r="B4" s="5" t="s">
        <v>36</v>
      </c>
      <c r="C4" s="5" t="s">
        <v>38</v>
      </c>
      <c r="D4" s="5" t="s">
        <v>40</v>
      </c>
      <c r="E4" s="10" t="s">
        <v>23</v>
      </c>
      <c r="F4" s="12" t="s">
        <v>27</v>
      </c>
      <c r="G4" s="13"/>
    </row>
    <row r="5" ht="60.0" customHeight="1">
      <c r="A5" s="5" t="s">
        <v>8</v>
      </c>
      <c r="B5" s="5" t="s">
        <v>46</v>
      </c>
      <c r="C5" s="5" t="s">
        <v>49</v>
      </c>
      <c r="D5" s="5" t="s">
        <v>50</v>
      </c>
      <c r="E5" s="9" t="s">
        <v>20</v>
      </c>
      <c r="F5" s="12" t="s">
        <v>27</v>
      </c>
      <c r="G5" s="13"/>
    </row>
    <row r="6" ht="60.0" customHeight="1">
      <c r="A6" s="5" t="s">
        <v>8</v>
      </c>
      <c r="B6" s="5" t="s">
        <v>57</v>
      </c>
      <c r="C6" s="5" t="s">
        <v>58</v>
      </c>
      <c r="D6" s="5" t="s">
        <v>60</v>
      </c>
      <c r="E6" s="7" t="s">
        <v>22</v>
      </c>
      <c r="F6" s="12" t="s">
        <v>27</v>
      </c>
      <c r="G6" s="13"/>
    </row>
    <row r="7" ht="60.0" customHeight="1">
      <c r="A7" s="5" t="s">
        <v>8</v>
      </c>
      <c r="B7" s="5" t="s">
        <v>70</v>
      </c>
      <c r="C7" s="5" t="s">
        <v>71</v>
      </c>
      <c r="D7" s="5" t="s">
        <v>72</v>
      </c>
      <c r="E7" s="10" t="s">
        <v>23</v>
      </c>
      <c r="F7" s="12" t="s">
        <v>27</v>
      </c>
      <c r="G7" s="13"/>
    </row>
    <row r="8" ht="60.0" customHeight="1">
      <c r="A8" s="5" t="s">
        <v>76</v>
      </c>
      <c r="B8" s="5" t="s">
        <v>77</v>
      </c>
      <c r="C8" s="5" t="s">
        <v>79</v>
      </c>
      <c r="D8" s="5" t="s">
        <v>82</v>
      </c>
      <c r="E8" s="9" t="s">
        <v>20</v>
      </c>
      <c r="F8" s="12" t="s">
        <v>27</v>
      </c>
      <c r="G8" s="13"/>
    </row>
    <row r="9" ht="60.0" customHeight="1">
      <c r="A9" s="5" t="s">
        <v>76</v>
      </c>
      <c r="B9" s="5" t="s">
        <v>86</v>
      </c>
      <c r="C9" s="5" t="s">
        <v>88</v>
      </c>
      <c r="D9" s="5" t="s">
        <v>91</v>
      </c>
      <c r="E9" s="10" t="s">
        <v>23</v>
      </c>
      <c r="F9" s="12" t="s">
        <v>27</v>
      </c>
      <c r="G9" s="13"/>
    </row>
    <row r="10" ht="60.0" customHeight="1">
      <c r="A10" s="5" t="s">
        <v>76</v>
      </c>
      <c r="B10" s="5" t="s">
        <v>95</v>
      </c>
      <c r="C10" s="5" t="s">
        <v>96</v>
      </c>
      <c r="D10" s="5" t="s">
        <v>98</v>
      </c>
      <c r="E10" s="9" t="s">
        <v>20</v>
      </c>
      <c r="F10" s="12" t="s">
        <v>27</v>
      </c>
      <c r="G10" s="13"/>
    </row>
    <row r="11" ht="60.0" customHeight="1">
      <c r="A11" s="5" t="s">
        <v>76</v>
      </c>
      <c r="B11" s="5" t="s">
        <v>102</v>
      </c>
      <c r="C11" s="5" t="s">
        <v>105</v>
      </c>
      <c r="D11" s="5" t="s">
        <v>107</v>
      </c>
      <c r="E11" s="10" t="s">
        <v>23</v>
      </c>
      <c r="F11" s="12" t="s">
        <v>27</v>
      </c>
      <c r="G11" s="13"/>
    </row>
    <row r="12" ht="60.0" customHeight="1">
      <c r="A12" s="5" t="s">
        <v>111</v>
      </c>
      <c r="B12" s="5" t="s">
        <v>112</v>
      </c>
      <c r="C12" s="5" t="s">
        <v>113</v>
      </c>
      <c r="D12" s="5" t="s">
        <v>115</v>
      </c>
      <c r="E12" s="10" t="s">
        <v>23</v>
      </c>
      <c r="F12" s="12" t="s">
        <v>27</v>
      </c>
      <c r="G12" s="13"/>
    </row>
    <row r="13" ht="60.0" customHeight="1">
      <c r="A13" s="5" t="s">
        <v>111</v>
      </c>
      <c r="B13" s="5" t="s">
        <v>119</v>
      </c>
      <c r="C13" s="5" t="s">
        <v>121</v>
      </c>
      <c r="D13" s="5" t="s">
        <v>123</v>
      </c>
      <c r="E13" s="10" t="s">
        <v>23</v>
      </c>
      <c r="F13" s="12" t="s">
        <v>27</v>
      </c>
      <c r="G13" s="13"/>
    </row>
    <row r="14" ht="60.0" customHeight="1">
      <c r="A14" s="5" t="s">
        <v>111</v>
      </c>
      <c r="B14" s="5" t="s">
        <v>128</v>
      </c>
      <c r="C14" s="5" t="s">
        <v>129</v>
      </c>
      <c r="D14" s="5" t="s">
        <v>130</v>
      </c>
      <c r="E14" s="9" t="s">
        <v>20</v>
      </c>
      <c r="F14" s="12" t="s">
        <v>27</v>
      </c>
      <c r="G14" s="13"/>
    </row>
    <row r="15" ht="60.0" customHeight="1">
      <c r="A15" s="5" t="s">
        <v>134</v>
      </c>
      <c r="B15" s="5" t="s">
        <v>135</v>
      </c>
      <c r="C15" s="5" t="s">
        <v>136</v>
      </c>
      <c r="D15" s="5" t="s">
        <v>138</v>
      </c>
      <c r="E15" s="10" t="s">
        <v>23</v>
      </c>
      <c r="F15" s="12" t="s">
        <v>27</v>
      </c>
      <c r="G15" s="13"/>
    </row>
    <row r="16" ht="60.0" customHeight="1">
      <c r="A16" s="5" t="s">
        <v>134</v>
      </c>
      <c r="B16" s="5" t="s">
        <v>141</v>
      </c>
      <c r="C16" s="5" t="s">
        <v>143</v>
      </c>
      <c r="D16" s="5" t="s">
        <v>145</v>
      </c>
      <c r="E16" s="10" t="s">
        <v>23</v>
      </c>
      <c r="F16" s="12" t="s">
        <v>27</v>
      </c>
      <c r="G16" s="13"/>
    </row>
    <row r="17" ht="60.0" customHeight="1">
      <c r="A17" s="5" t="s">
        <v>134</v>
      </c>
      <c r="B17" s="5" t="s">
        <v>151</v>
      </c>
      <c r="C17" s="5" t="s">
        <v>153</v>
      </c>
      <c r="D17" s="5" t="s">
        <v>155</v>
      </c>
      <c r="E17" s="10" t="s">
        <v>23</v>
      </c>
      <c r="F17" s="12" t="s">
        <v>27</v>
      </c>
      <c r="G17" s="13"/>
    </row>
    <row r="18" ht="60.0" customHeight="1">
      <c r="A18" s="5" t="s">
        <v>134</v>
      </c>
      <c r="B18" s="5" t="s">
        <v>159</v>
      </c>
      <c r="C18" s="5" t="s">
        <v>161</v>
      </c>
      <c r="D18" s="5" t="s">
        <v>162</v>
      </c>
      <c r="E18" s="10" t="s">
        <v>23</v>
      </c>
      <c r="F18" s="12" t="s">
        <v>27</v>
      </c>
      <c r="G18" s="13"/>
    </row>
    <row r="19" ht="60.0" customHeight="1">
      <c r="A19" s="5" t="s">
        <v>166</v>
      </c>
      <c r="B19" s="5" t="s">
        <v>167</v>
      </c>
      <c r="C19" s="5" t="s">
        <v>169</v>
      </c>
      <c r="D19" s="5" t="s">
        <v>170</v>
      </c>
      <c r="E19" s="10" t="s">
        <v>20</v>
      </c>
      <c r="F19" s="12" t="s">
        <v>27</v>
      </c>
      <c r="G19" s="13"/>
    </row>
    <row r="20" ht="60.0" customHeight="1">
      <c r="A20" s="5" t="s">
        <v>166</v>
      </c>
      <c r="B20" s="5" t="s">
        <v>174</v>
      </c>
      <c r="C20" s="5" t="s">
        <v>175</v>
      </c>
      <c r="D20" s="5" t="s">
        <v>176</v>
      </c>
      <c r="E20" s="10" t="s">
        <v>20</v>
      </c>
      <c r="F20" s="12" t="s">
        <v>27</v>
      </c>
      <c r="G20" s="13"/>
    </row>
    <row r="21" ht="60.0" customHeight="1">
      <c r="A21" s="5" t="s">
        <v>166</v>
      </c>
      <c r="B21" s="5" t="s">
        <v>177</v>
      </c>
      <c r="C21" s="5" t="s">
        <v>178</v>
      </c>
      <c r="D21" s="5" t="s">
        <v>179</v>
      </c>
      <c r="E21" s="10" t="s">
        <v>20</v>
      </c>
      <c r="F21" s="12" t="s">
        <v>27</v>
      </c>
      <c r="G21" s="13"/>
    </row>
    <row r="22" ht="60.0" customHeight="1">
      <c r="A22" s="5" t="s">
        <v>166</v>
      </c>
      <c r="B22" s="5" t="s">
        <v>180</v>
      </c>
      <c r="C22" s="5" t="s">
        <v>181</v>
      </c>
      <c r="D22" s="5" t="s">
        <v>182</v>
      </c>
      <c r="E22" s="10" t="s">
        <v>23</v>
      </c>
      <c r="F22" s="12" t="s">
        <v>27</v>
      </c>
      <c r="G22" s="13"/>
    </row>
    <row r="23" ht="60.0" customHeight="1">
      <c r="A23" s="5" t="s">
        <v>166</v>
      </c>
      <c r="B23" s="5" t="s">
        <v>183</v>
      </c>
      <c r="C23" s="5" t="s">
        <v>184</v>
      </c>
      <c r="D23" s="5" t="s">
        <v>185</v>
      </c>
      <c r="E23" s="7" t="s">
        <v>22</v>
      </c>
      <c r="F23" s="12" t="s">
        <v>27</v>
      </c>
      <c r="G23" s="13"/>
    </row>
    <row r="24" ht="60.0" customHeight="1">
      <c r="A24" s="5" t="s">
        <v>187</v>
      </c>
      <c r="B24" s="5" t="s">
        <v>188</v>
      </c>
      <c r="C24" s="5" t="s">
        <v>189</v>
      </c>
      <c r="D24" s="5" t="s">
        <v>190</v>
      </c>
      <c r="E24" s="10" t="s">
        <v>23</v>
      </c>
      <c r="F24" s="12" t="s">
        <v>27</v>
      </c>
      <c r="G24" s="13"/>
    </row>
    <row r="25" ht="60.0" customHeight="1">
      <c r="A25" s="5" t="s">
        <v>187</v>
      </c>
      <c r="B25" s="5" t="s">
        <v>191</v>
      </c>
      <c r="C25" s="5" t="s">
        <v>192</v>
      </c>
      <c r="D25" s="5" t="s">
        <v>193</v>
      </c>
      <c r="E25" s="10" t="s">
        <v>23</v>
      </c>
      <c r="F25" s="12" t="s">
        <v>27</v>
      </c>
      <c r="G25" s="13"/>
    </row>
    <row r="26" ht="60.0" customHeight="1">
      <c r="A26" s="5" t="s">
        <v>187</v>
      </c>
      <c r="B26" s="5" t="s">
        <v>194</v>
      </c>
      <c r="C26" s="5" t="s">
        <v>195</v>
      </c>
      <c r="D26" s="5" t="s">
        <v>196</v>
      </c>
      <c r="E26" s="7" t="s">
        <v>22</v>
      </c>
      <c r="F26" s="12" t="s">
        <v>27</v>
      </c>
      <c r="G26" s="13"/>
    </row>
    <row r="27" ht="60.0" customHeight="1">
      <c r="A27" s="5" t="s">
        <v>187</v>
      </c>
      <c r="B27" s="5" t="s">
        <v>197</v>
      </c>
      <c r="C27" s="5" t="s">
        <v>198</v>
      </c>
      <c r="D27" s="5" t="s">
        <v>199</v>
      </c>
      <c r="E27" s="10" t="s">
        <v>23</v>
      </c>
      <c r="F27" s="12" t="s">
        <v>27</v>
      </c>
      <c r="G27" s="13"/>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3.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3" t="s">
        <v>0</v>
      </c>
      <c r="B1" s="3" t="s">
        <v>2</v>
      </c>
      <c r="C1" s="3" t="s">
        <v>3</v>
      </c>
      <c r="D1" s="3" t="s">
        <v>4</v>
      </c>
      <c r="E1" s="3" t="s">
        <v>5</v>
      </c>
      <c r="F1" s="3" t="s">
        <v>6</v>
      </c>
      <c r="G1" s="3" t="s">
        <v>7</v>
      </c>
    </row>
    <row r="2" ht="60.0" customHeight="1">
      <c r="A2" s="5" t="s">
        <v>13</v>
      </c>
      <c r="B2" s="5" t="s">
        <v>17</v>
      </c>
      <c r="C2" s="5" t="s">
        <v>19</v>
      </c>
      <c r="D2" s="5" t="s">
        <v>21</v>
      </c>
      <c r="E2" s="10" t="s">
        <v>23</v>
      </c>
      <c r="F2" s="12" t="s">
        <v>27</v>
      </c>
      <c r="G2" s="13" t="s">
        <v>206</v>
      </c>
    </row>
    <row r="3" ht="60.0" customHeight="1">
      <c r="A3" s="5" t="s">
        <v>13</v>
      </c>
      <c r="B3" s="5" t="s">
        <v>29</v>
      </c>
      <c r="C3" s="5" t="s">
        <v>31</v>
      </c>
      <c r="D3" s="5" t="s">
        <v>32</v>
      </c>
      <c r="E3" s="7" t="s">
        <v>22</v>
      </c>
      <c r="F3" s="12" t="s">
        <v>27</v>
      </c>
      <c r="G3" s="13" t="s">
        <v>207</v>
      </c>
    </row>
    <row r="4" ht="60.0" customHeight="1">
      <c r="A4" s="5" t="s">
        <v>34</v>
      </c>
      <c r="B4" s="5" t="s">
        <v>35</v>
      </c>
      <c r="C4" s="5" t="s">
        <v>37</v>
      </c>
      <c r="D4" s="5" t="s">
        <v>39</v>
      </c>
      <c r="E4" s="10" t="s">
        <v>23</v>
      </c>
      <c r="F4" s="12" t="s">
        <v>27</v>
      </c>
      <c r="G4" s="13" t="s">
        <v>208</v>
      </c>
    </row>
    <row r="5" ht="60.0" customHeight="1">
      <c r="A5" s="5" t="s">
        <v>34</v>
      </c>
      <c r="B5" s="5" t="s">
        <v>42</v>
      </c>
      <c r="C5" s="5" t="s">
        <v>45</v>
      </c>
      <c r="D5" s="5" t="s">
        <v>48</v>
      </c>
      <c r="E5" s="10" t="s">
        <v>23</v>
      </c>
      <c r="F5" s="12" t="s">
        <v>27</v>
      </c>
      <c r="G5" s="13" t="s">
        <v>209</v>
      </c>
    </row>
    <row r="6" ht="60.0" customHeight="1">
      <c r="A6" s="5" t="s">
        <v>34</v>
      </c>
      <c r="B6" s="5" t="s">
        <v>53</v>
      </c>
      <c r="C6" s="5" t="s">
        <v>55</v>
      </c>
      <c r="D6" s="5" t="s">
        <v>56</v>
      </c>
      <c r="E6" s="10" t="s">
        <v>23</v>
      </c>
      <c r="F6" s="12" t="s">
        <v>27</v>
      </c>
      <c r="G6" s="13" t="s">
        <v>210</v>
      </c>
    </row>
    <row r="7" ht="60.0" customHeight="1">
      <c r="A7" s="5" t="s">
        <v>63</v>
      </c>
      <c r="B7" s="5" t="s">
        <v>64</v>
      </c>
      <c r="C7" s="5" t="s">
        <v>65</v>
      </c>
      <c r="D7" s="5" t="s">
        <v>66</v>
      </c>
      <c r="E7" s="10" t="s">
        <v>23</v>
      </c>
      <c r="F7" s="11" t="s">
        <v>27</v>
      </c>
      <c r="G7" s="13" t="s">
        <v>211</v>
      </c>
    </row>
    <row r="8" ht="60.0" customHeight="1">
      <c r="A8" s="5" t="s">
        <v>63</v>
      </c>
      <c r="B8" s="5" t="s">
        <v>67</v>
      </c>
      <c r="C8" s="5" t="s">
        <v>68</v>
      </c>
      <c r="D8" s="5" t="s">
        <v>69</v>
      </c>
      <c r="E8" s="10" t="s">
        <v>23</v>
      </c>
      <c r="F8" s="11" t="s">
        <v>27</v>
      </c>
      <c r="G8" s="13" t="s">
        <v>212</v>
      </c>
    </row>
    <row r="9" ht="60.0" customHeight="1">
      <c r="A9" s="5" t="s">
        <v>63</v>
      </c>
      <c r="B9" s="5" t="s">
        <v>73</v>
      </c>
      <c r="C9" s="5" t="s">
        <v>74</v>
      </c>
      <c r="D9" s="5" t="s">
        <v>75</v>
      </c>
      <c r="E9" s="10" t="s">
        <v>23</v>
      </c>
      <c r="F9" s="12" t="s">
        <v>27</v>
      </c>
      <c r="G9" s="13" t="s">
        <v>213</v>
      </c>
    </row>
    <row r="10" ht="60.0" customHeight="1">
      <c r="A10" s="5" t="s">
        <v>63</v>
      </c>
      <c r="B10" s="5" t="s">
        <v>78</v>
      </c>
      <c r="C10" s="5" t="s">
        <v>80</v>
      </c>
      <c r="D10" s="5" t="s">
        <v>81</v>
      </c>
      <c r="E10" s="10" t="s">
        <v>23</v>
      </c>
      <c r="F10" s="12" t="s">
        <v>27</v>
      </c>
      <c r="G10" s="13" t="s">
        <v>214</v>
      </c>
    </row>
    <row r="11" ht="60.0" customHeight="1">
      <c r="A11" s="5" t="s">
        <v>63</v>
      </c>
      <c r="B11" s="5" t="s">
        <v>83</v>
      </c>
      <c r="C11" s="5" t="s">
        <v>84</v>
      </c>
      <c r="D11" s="5" t="s">
        <v>85</v>
      </c>
      <c r="E11" s="10" t="s">
        <v>23</v>
      </c>
      <c r="F11" s="12" t="s">
        <v>27</v>
      </c>
      <c r="G11" s="13" t="s">
        <v>215</v>
      </c>
    </row>
    <row r="12" ht="60.0" customHeight="1">
      <c r="A12" s="5" t="s">
        <v>63</v>
      </c>
      <c r="B12" s="5" t="s">
        <v>87</v>
      </c>
      <c r="C12" s="5" t="s">
        <v>89</v>
      </c>
      <c r="D12" s="5" t="s">
        <v>90</v>
      </c>
      <c r="E12" s="10" t="s">
        <v>23</v>
      </c>
      <c r="F12" s="12" t="s">
        <v>27</v>
      </c>
      <c r="G12" s="13" t="s">
        <v>216</v>
      </c>
    </row>
    <row r="13" ht="60.0" customHeight="1">
      <c r="A13" s="5" t="s">
        <v>63</v>
      </c>
      <c r="B13" s="5" t="s">
        <v>92</v>
      </c>
      <c r="C13" s="5" t="s">
        <v>93</v>
      </c>
      <c r="D13" s="5" t="s">
        <v>94</v>
      </c>
      <c r="E13" s="10" t="s">
        <v>23</v>
      </c>
      <c r="F13" s="11" t="s">
        <v>27</v>
      </c>
      <c r="G13" s="13" t="s">
        <v>217</v>
      </c>
    </row>
    <row r="14" ht="60.0" customHeight="1">
      <c r="A14" s="5" t="s">
        <v>63</v>
      </c>
      <c r="B14" s="5" t="s">
        <v>97</v>
      </c>
      <c r="C14" s="5" t="s">
        <v>99</v>
      </c>
      <c r="D14" s="5" t="s">
        <v>100</v>
      </c>
      <c r="E14" s="10" t="s">
        <v>23</v>
      </c>
      <c r="F14" s="11" t="s">
        <v>27</v>
      </c>
      <c r="G14" s="13" t="s">
        <v>218</v>
      </c>
    </row>
    <row r="15" ht="60.0" customHeight="1">
      <c r="A15" s="5" t="s">
        <v>101</v>
      </c>
      <c r="B15" s="5" t="s">
        <v>103</v>
      </c>
      <c r="C15" s="5" t="s">
        <v>104</v>
      </c>
      <c r="D15" s="5" t="s">
        <v>106</v>
      </c>
      <c r="E15" s="10" t="s">
        <v>23</v>
      </c>
      <c r="F15" s="11" t="s">
        <v>27</v>
      </c>
      <c r="G15" s="13" t="s">
        <v>219</v>
      </c>
    </row>
    <row r="16" ht="60.0" customHeight="1">
      <c r="A16" s="5" t="s">
        <v>101</v>
      </c>
      <c r="B16" s="5" t="s">
        <v>108</v>
      </c>
      <c r="C16" s="5" t="s">
        <v>109</v>
      </c>
      <c r="D16" s="5" t="s">
        <v>110</v>
      </c>
      <c r="E16" s="10" t="s">
        <v>23</v>
      </c>
      <c r="F16" s="11" t="s">
        <v>27</v>
      </c>
      <c r="G16" s="13" t="s">
        <v>220</v>
      </c>
    </row>
    <row r="17" ht="60.0" customHeight="1">
      <c r="A17" s="5" t="s">
        <v>101</v>
      </c>
      <c r="B17" s="5" t="s">
        <v>114</v>
      </c>
      <c r="C17" s="5" t="s">
        <v>116</v>
      </c>
      <c r="D17" s="5" t="s">
        <v>117</v>
      </c>
      <c r="E17" s="10" t="s">
        <v>23</v>
      </c>
      <c r="F17" s="12" t="s">
        <v>27</v>
      </c>
      <c r="G17" s="13" t="s">
        <v>221</v>
      </c>
    </row>
    <row r="18" ht="60.0" customHeight="1">
      <c r="A18" s="5" t="s">
        <v>101</v>
      </c>
      <c r="B18" s="5" t="s">
        <v>118</v>
      </c>
      <c r="C18" s="5" t="s">
        <v>120</v>
      </c>
      <c r="D18" s="5" t="s">
        <v>122</v>
      </c>
      <c r="E18" s="10" t="s">
        <v>23</v>
      </c>
      <c r="F18" s="12" t="s">
        <v>27</v>
      </c>
      <c r="G18" s="13" t="s">
        <v>222</v>
      </c>
    </row>
    <row r="19" ht="60.0" customHeight="1">
      <c r="A19" s="5" t="s">
        <v>124</v>
      </c>
      <c r="B19" s="5" t="s">
        <v>125</v>
      </c>
      <c r="C19" s="5" t="s">
        <v>126</v>
      </c>
      <c r="D19" s="5" t="s">
        <v>127</v>
      </c>
      <c r="E19" s="10" t="s">
        <v>23</v>
      </c>
      <c r="F19" s="11" t="s">
        <v>27</v>
      </c>
      <c r="G19" s="13" t="s">
        <v>223</v>
      </c>
    </row>
    <row r="20" ht="60.0" customHeight="1">
      <c r="A20" s="5" t="s">
        <v>124</v>
      </c>
      <c r="B20" s="5" t="s">
        <v>131</v>
      </c>
      <c r="C20" s="5" t="s">
        <v>132</v>
      </c>
      <c r="D20" s="5" t="s">
        <v>133</v>
      </c>
      <c r="E20" s="10" t="s">
        <v>23</v>
      </c>
      <c r="F20" s="12" t="s">
        <v>27</v>
      </c>
      <c r="G20" s="13" t="s">
        <v>224</v>
      </c>
    </row>
    <row r="21" ht="60.0" customHeight="1">
      <c r="A21" s="5" t="s">
        <v>124</v>
      </c>
      <c r="B21" s="5" t="s">
        <v>137</v>
      </c>
      <c r="C21" s="5" t="s">
        <v>139</v>
      </c>
      <c r="D21" s="5" t="s">
        <v>140</v>
      </c>
      <c r="E21" s="10" t="s">
        <v>23</v>
      </c>
      <c r="F21" s="12" t="s">
        <v>27</v>
      </c>
      <c r="G21" s="13" t="s">
        <v>225</v>
      </c>
    </row>
    <row r="22" ht="60.0" customHeight="1">
      <c r="A22" s="5" t="s">
        <v>124</v>
      </c>
      <c r="B22" s="5" t="s">
        <v>142</v>
      </c>
      <c r="C22" s="5" t="s">
        <v>144</v>
      </c>
      <c r="D22" s="5" t="s">
        <v>146</v>
      </c>
      <c r="E22" s="10" t="s">
        <v>23</v>
      </c>
      <c r="F22" s="12" t="s">
        <v>27</v>
      </c>
      <c r="G22" s="13" t="s">
        <v>226</v>
      </c>
    </row>
    <row r="23" ht="60.0" customHeight="1">
      <c r="A23" s="5" t="s">
        <v>147</v>
      </c>
      <c r="B23" s="5" t="s">
        <v>148</v>
      </c>
      <c r="C23" s="5" t="s">
        <v>149</v>
      </c>
      <c r="D23" s="5" t="s">
        <v>150</v>
      </c>
      <c r="E23" s="10" t="s">
        <v>23</v>
      </c>
      <c r="F23" s="12" t="s">
        <v>27</v>
      </c>
      <c r="G23" s="13" t="s">
        <v>227</v>
      </c>
    </row>
    <row r="24" ht="60.0" customHeight="1">
      <c r="A24" s="5" t="s">
        <v>147</v>
      </c>
      <c r="B24" s="5" t="s">
        <v>152</v>
      </c>
      <c r="C24" s="5" t="s">
        <v>154</v>
      </c>
      <c r="D24" s="5" t="s">
        <v>156</v>
      </c>
      <c r="E24" s="10" t="s">
        <v>23</v>
      </c>
      <c r="F24" s="12" t="s">
        <v>27</v>
      </c>
      <c r="G24" s="13" t="s">
        <v>228</v>
      </c>
    </row>
    <row r="25" ht="60.0" customHeight="1">
      <c r="A25" s="5" t="s">
        <v>147</v>
      </c>
      <c r="B25" s="5" t="s">
        <v>157</v>
      </c>
      <c r="C25" s="5" t="s">
        <v>158</v>
      </c>
      <c r="D25" s="5" t="s">
        <v>160</v>
      </c>
      <c r="E25" s="10" t="s">
        <v>23</v>
      </c>
      <c r="F25" s="12" t="s">
        <v>27</v>
      </c>
      <c r="G25" s="13" t="s">
        <v>230</v>
      </c>
    </row>
    <row r="26" ht="60.0" customHeight="1">
      <c r="A26" s="5" t="s">
        <v>147</v>
      </c>
      <c r="B26" s="5" t="s">
        <v>163</v>
      </c>
      <c r="C26" s="5" t="s">
        <v>164</v>
      </c>
      <c r="D26" s="5" t="s">
        <v>165</v>
      </c>
      <c r="E26" s="10" t="s">
        <v>23</v>
      </c>
      <c r="F26" s="12" t="s">
        <v>27</v>
      </c>
      <c r="G26" s="13" t="s">
        <v>231</v>
      </c>
    </row>
    <row r="27" ht="60.0" customHeight="1">
      <c r="A27" s="5" t="s">
        <v>147</v>
      </c>
      <c r="B27" s="5" t="s">
        <v>171</v>
      </c>
      <c r="C27" s="5" t="s">
        <v>172</v>
      </c>
      <c r="D27" s="5" t="s">
        <v>173</v>
      </c>
      <c r="E27" s="7" t="s">
        <v>22</v>
      </c>
      <c r="F27" s="12" t="s">
        <v>27</v>
      </c>
      <c r="G27" s="13" t="s">
        <v>232</v>
      </c>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27">
    <cfRule type="expression" dxfId="0" priority="1">
      <formula>$F2="Done"</formula>
    </cfRule>
  </conditionalFormatting>
  <conditionalFormatting sqref="A2:G27">
    <cfRule type="expression" dxfId="1" priority="2">
      <formula>$F2="In Progress"</formula>
    </cfRule>
  </conditionalFormatting>
  <dataValidations>
    <dataValidation type="list" allowBlank="1" sqref="F2:F27">
      <formula1>"Not Started,In Progress,Done"</formula1>
    </dataValidation>
  </dataValidations>
  <printOptions/>
  <pageMargins bottom="0.5" footer="0.0" header="0.0" left="0.35" right="0.35" top="0.5"/>
  <pageSetup fitToHeight="0" orientation="landscape"/>
  <drawing ns1:id="rId1"/>
</worksheet>
</file>

<file path=xl/worksheets/sheet4.xml><?xml version="1.0" encoding="utf-8"?>
<worksheet xmlns="http://schemas.openxmlformats.org/spreadsheetml/2006/main" xmlns:ns1="http://schemas.openxmlformats.org/officeDocument/2006/relationships">
  <sheetPr>
    <pageSetUpPr fitToPage="1"/>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2.0"/>
    <col customWidth="1" min="2" max="2" width="40.0"/>
    <col customWidth="1" min="3" max="3" width="48.0"/>
    <col customWidth="1" min="4" max="4" width="46.0"/>
    <col customWidth="1" min="5" max="5" width="10.0"/>
    <col customWidth="1" min="6" max="6" width="14.0"/>
    <col customWidth="1" min="7" max="7" width="22.0"/>
    <col customWidth="1" min="8" max="26" width="8.71"/>
  </cols>
  <sheetData>
    <row r="1">
      <c r="A1" s="1" t="s">
        <v>0</v>
      </c>
      <c r="B1" s="1" t="s">
        <v>2</v>
      </c>
      <c r="C1" s="1" t="s">
        <v>3</v>
      </c>
      <c r="D1" s="1" t="s">
        <v>4</v>
      </c>
      <c r="E1" s="1" t="s">
        <v>5</v>
      </c>
      <c r="F1" s="1" t="s">
        <v>6</v>
      </c>
      <c r="G1" s="1" t="s">
        <v>7</v>
      </c>
    </row>
    <row r="2" ht="60.0" customHeight="1">
      <c r="A2" s="5" t="s">
        <v>9</v>
      </c>
      <c r="B2" s="5" t="s">
        <v>14</v>
      </c>
      <c r="C2" s="5" t="s">
        <v>16</v>
      </c>
      <c r="D2" s="5" t="s">
        <v>18</v>
      </c>
      <c r="E2" s="7" t="s">
        <v>22</v>
      </c>
      <c r="F2" s="12" t="s">
        <v>27</v>
      </c>
      <c r="G2" s="13" t="s">
        <v>233</v>
      </c>
    </row>
    <row r="3" ht="60.0" customHeight="1">
      <c r="A3" s="5" t="s">
        <v>9</v>
      </c>
      <c r="B3" s="5" t="s">
        <v>43</v>
      </c>
      <c r="C3" s="5" t="s">
        <v>44</v>
      </c>
      <c r="D3" s="5" t="s">
        <v>47</v>
      </c>
      <c r="E3" s="7" t="s">
        <v>22</v>
      </c>
      <c r="F3" s="12" t="s">
        <v>27</v>
      </c>
      <c r="G3" s="13" t="s">
        <v>234</v>
      </c>
    </row>
    <row r="4" ht="60.0" customHeight="1">
      <c r="A4" s="5" t="s">
        <v>9</v>
      </c>
      <c r="B4" s="5" t="s">
        <v>51</v>
      </c>
      <c r="C4" s="5" t="s">
        <v>52</v>
      </c>
      <c r="D4" s="5" t="s">
        <v>54</v>
      </c>
      <c r="E4" s="7" t="s">
        <v>235</v>
      </c>
      <c r="F4" s="12" t="s">
        <v>27</v>
      </c>
      <c r="G4" s="13" t="s">
        <v>236</v>
      </c>
    </row>
    <row r="5" ht="60.0" customHeight="1">
      <c r="A5" s="5" t="s">
        <v>9</v>
      </c>
      <c r="B5" s="5" t="s">
        <v>59</v>
      </c>
      <c r="C5" s="5" t="s">
        <v>61</v>
      </c>
      <c r="D5" s="5" t="s">
        <v>62</v>
      </c>
      <c r="E5" s="7" t="s">
        <v>237</v>
      </c>
      <c r="F5" s="12" t="s">
        <v>27</v>
      </c>
      <c r="G5" s="13" t="s">
        <v>238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G5">
    <cfRule type="expression" dxfId="0" priority="1">
      <formula>$F2="Done"</formula>
    </cfRule>
  </conditionalFormatting>
  <conditionalFormatting sqref="A2:G5">
    <cfRule type="expression" dxfId="1" priority="2">
      <formula>$F2="In Progress"</formula>
    </cfRule>
  </conditionalFormatting>
  <dataValidations>
    <dataValidation type="list" allowBlank="1" sqref="F2:F5">
      <formula1>"Not Started,In Progress,Done"</formula1>
    </dataValidation>
  </dataValidations>
  <printOptions/>
  <pageMargins bottom="0.5" footer="0.0" header="0.0" left="0.35" right="0.35" top="0.5"/>
  <pageSetup fitToHeight="0" orientation="landscape"/>
  <drawing ns1: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2026-09-27T16:54:10Z</dcterms:created>
  <dc:creator>openpyxl</dc:creator>
</cp:coreProperties>
</file>

<file path=docProps/custom.xml><?xml version="1.0" encoding="utf-8"?>
<Properties xmlns="http://schemas.openxmlformats.org/officeDocument/2006/custom-properties" xmlns:vt="http://schemas.openxmlformats.org/officeDocument/2006/docPropsVTypes"/>
</file>