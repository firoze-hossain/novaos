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<ns0:sst xmlns:ns0="http://schemas.openxmlformats.org/spreadsheetml/2006/main" count="224" uniqueCount="224">
  <ns0:si>
    <ns0:t>Month</ns0:t>
  </ns0:si>
  <ns0:si>
    <ns0:t>NovaOS - 6-Month Build Plan</ns0:t>
  </ns0:si>
  <ns0:si>
    <ns0:t>Task</ns0:t>
  </ns0:si>
  <ns0:si>
    <ns0:t>Description (purpose &amp; function)</ns0:t>
  </ns0:si>
  <ns0:si>
    <ns0:t>How to integrate into NovaOS</ns0:t>
  </ns0:si>
  <ns0:si>
    <ns0:t>Language</ns0:t>
  </ns0:si>
  <ns0:si>
    <ns0:t>Status</ns0:t>
  </ns0:si>
  <ns0:si>
    <ns0:t>Notes</ns0:t>
  </ns0:si>
  <ns0:si>
    <ns0:t>Month 1 - Foundation</ns0:t>
  </ns0:si>
  <ns0:si>
    <ns0:t>Cross-cutting - touches both tracks</ns0:t>
  </ns0:si>
  <ns0:si>
    <ns0:t>Complete the C library: realloc, fopen/fread, errno, environment variables</ns0:t>
  </ns0:si>
  <ns0:si>
    <ns0:t>The standard C functions most real C programs assume exist. Without them, porting any ordinary C program to NovaOS fails immediately on a missing symbol.</ns0:t>
  </ns0:si>
  <ns0:si>
    <ns0:t>Kernel and Interface tracked separately. No gaming scope. Every task includes what it's for, how to build it here, and Rust vs C.</ns0:t>
  </ns0:si>
  <ns0:si>
    <ns0:t>Month 1 - Prep</ns0:t>
  </ns0:si>
  <ns0:si>
    <ns0:t>Extend the automated test suite to cover every feature above as it lands</ns0:t>
  </ns0:si>
  <ns0:si>
    <ns0:t>Extend userland/libc/: realloc wraps the existing heap allocator with copy-on-grow; fopen/fread layer over the existing SYS_OPEN/SYS_READ syscalls; errno as a per-process global set by syscall wrappers; environment variables passed via the existing argv-style ELF entry convention.</ns0:t>
  </ns0:si>
  <ns0:si>
    <ns0:t>Adds automated boot-time checks for every new feature, keeping the project's proven "verify, don't assume" discipline intact as scope grows.</ns0:t>
  </ns0:si>
  <ns0:si>
    <ns0:t>Define the design system: colors, type scale, spacing, and widget conventions every app will follow</ns0:t>
  </ns0:si>
  <ns0:si>
    <ns0:t>New assertions in the existing tools/python/test_runner.py, following the same pattern already used for 81 existing checks.</ns0:t>
  </ns0:si>
  <ns0:si>
    <ns0:t>The shared visual language every future app follows - without this first, every app built after it looks inconsistent.</ns0:t>
  </ns0:si>
  <ns0:si>
    <ns0:t>C</ns0:t>
  </ns0:si>
  <ns0:si>
    <ns0:t>A small, shared Rust module (constants + basic drawing helpers) that wm-rs and every future app link against.</ns0:t>
  </ns0:si>
  <ns0:si>
    <ns0:t>N/A</ns0:t>
  </ns0:si>
  <ns0:si>
    <ns0:t>Rust</ns0:t>
  </ns0:si>
  <ns0:si>
    <ns0:t>Kernel Track</ns0:t>
  </ns0:si>
  <ns0:si>
    <ns0:t>Interface Track</ns0:t>
  </ns0:si>
  <ns0:si>
    <ns0:t>Not Started</ns0:t>
  </ns0:si>
  <ns0:si>
    <ns0:t>Done</ns0:t>
  </ns0:si>
  <ns0:si>
    <ns0:t>Dynamic linking - a real ld.so-equivalent loader and shared-library format</ns0:t>
  </ns0:si>
  <ns0:si>
    <ns0:t>Wire the shell into the service supervisor as a restartable, supervised service</ns0:t>
  </ns0:si>
  <ns0:si>
    <ns0:t>Lets multiple programs share one on-disk copy of a library instead of each statically duplicating it - the single biggest blocker to a real, growing app ecosystem.</ns0:t>
  </ns0:si>
  <ns0:si>
    <ns0:t>Makes the interactive shell a real, restartable service instead of a hardcoded exec, so it benefits from novainit's own crash recovery.</ns0:t>
  </ns0:si>
  <ns0:si>
    <ns0:t>Add the shell to SERVICES.CFG, the same config format novainit-rs already reads.</ns0:t>
  </ns0:si>
  <ns0:si>
    <ns0:t>Add PT_DYNAMIC/.dynsym/relocation support to process_exec_internal()'s ELF loader, plus a small runtime loader mapped into every process that resolves symbols at load time.</ns0:t>
  </ns0:si>
  <ns0:si>
    <ns0:t>Month 2 - Compositor</ns0:t>
  </ns0:si>
  <ns0:si>
    <ns0:t>Port the existing window manager off VGA text mode onto the new framebuffer</ns0:t>
  </ns0:si>
  <ns0:si>
    <ns0:t>Redesign fixed-size kernel tables (process table, etc.) to grow dynamically instead of another hardcoded ceiling</ns0:t>
  </ns0:si>
  <ns0:si>
    <ns0:t>Moves the existing, already-working window dragging/z-order/taskbar logic onto the new, real-resolution framebuffer.</ns0:t>
  </ns0:si>
  <ns0:si>
    <ns0:t>Replaces hardcoded ceilings (like today's process table) with tables that grow as needed, so the kernel doesn't silently run out of room under real load.</ns0:t>
  </ns0:si>
  <ns0:si>
    <ns0:t>Update wm-rs's own drawing calls to the new graphics syscalls - the window-management logic itself doesn't change, only the pixel-pushing layer underneath.</ns0:t>
  </ns0:si>
  <ns0:si>
    <ns0:t>Swap static C arrays for a kernel-side growable structure behind the same lookup functions already used, so callers don't change.</ns0:t>
  </ns0:si>
  <ns0:si>
    <ns0:t>Release</ns0:t>
  </ns0:si>
  <ns0:si>
    <ns0:t>Real font rendering - multiple sizes, antialiasing</ns0:t>
  </ns0:si>
  <ns0:si>
    <ns0:t>Split the build into Desktop and Server editions from one shared kernel</ns0:t>
  </ns0:si>
  <ns0:si>
    <ns0:t>One kernel, two install profiles - the cheapest real way to honestly support both use cases without maintaining two codebases.</ns0:t>
  </ns0:si>
  <ns0:si>
    <ns0:t>Replaces the current single-size 5x7 bitmap font with real, readable, multiple-size text - necessary for any app with real UI text.</ns0:t>
  </ns0:si>
  <ns0:si>
    <ns0:t>Finish driver-registration migration for the timer, VFS, and network drivers</ns0:t>
  </ns0:si>
  <ns0:si>
    <ns0:t>A build-time flag controlling whether the compositor/GUI apps are included in the disk image, following the existing build-disk-image.sh pattern.</ns0:t>
  </ns0:si>
  <ns0:si>
    <ns0:t>A new font-rendering module (bitmap atlas at minimum, a simple rasterizer as a stretch goal), called from the compositor and every text-drawing app.</ns0:t>
  </ns0:si>
  <ns0:si>
    <ns0:t>Moves the remaining drivers onto the same self-registering table 4 of ~10 drivers already use, so kernel_main() stops needing to know every driver by name.</ns0:t>
  </ns0:si>
  <ns0:si>
    <ns0:t>Apply the existing DRIVER_REGISTER() macro/linker-section pattern already proven on PS/2 and UHCI to timer_init/vfs_init/net_init.</ns0:t>
  </ns0:si>
  <ns0:si>
    <ns0:t>Security review spanning both tracks together</ns0:t>
  </ns0:si>
  <ns0:si>
    <ns0:t>A dedicated, cross-track review of every permission/capability boundary added across all six months, before release.</ns0:t>
  </ns0:si>
  <ns0:si>
    <ns0:t>Cursor themes and a redesigned window chrome (title bars, buttons)</ns0:t>
  </ns0:si>
  <ns0:si>
    <ns0:t>Manual review plus targeted testing of every new syscall and every new app's own permission use.</ns0:t>
  </ns0:si>
  <ns0:si>
    <ns0:t>Visual polish for the cursor and window title bars/buttons - small in scope, but visible in every screenshot of the OS.</ns0:t>
  </ns0:si>
  <ns0:si>
    <ns0:t>Extend wm-rs's existing drawing code with new cursor bitmaps and title-bar drawing routines.</ns0:t>
  </ns0:si>
  <ns0:si>
    <ns0:t>Wire the service supervisor in as the real, default first process</ns0:t>
  </ns0:si>
  <ns0:si>
    <ns0:t>Makes the existing service supervisor the actual first process the kernel starts, instead of the shell, so all future services get real dependency ordering and restart-on-crash from boot.</ns0:t>
  </ns0:si>
  <ns0:si>
    <ns0:t>v1.0 release-candidate build and final sign-off checklist</ns0:t>
  </ns0:si>
  <ns0:si>
    <ns0:t>Change SYSTEM.CFG's init_path default from SHELL.ELF to NOVAINIT.ELF, and have novainit's own config launch the shell as one of its supervised services.</ns0:t>
  </ns0:si>
  <ns0:si>
    <ns0:t>The final build-and-sign-off milestone - every task above complete, every test passing, ready to hand to a real user.</ns0:t>
  </ns0:si>
  <ns0:si>
    <ns0:t>Process/release work, not a feature in itself.</ns0:t>
  </ns0:si>
  <ns0:si>
    <ns0:t>Month 3 - Core desktop apps</ns0:t>
  </ns0:si>
  <ns0:si>
    <ns0:t>Menu bar across the top of the screen</ns0:t>
  </ns0:si>
  <ns0:si>
    <ns0:t>The persistent top-of-screen bar showing the active app's own menu - a core piece of desktop navigation.</ns0:t>
  </ns0:si>
  <ns0:si>
    <ns0:t>A new always-on-top compositor layer, similar to how the existing taskbar is drawn, reporting clicks back to the focused app.</ns0:t>
  </ns0:si>
  <ns0:si>
    <ns0:t>Dock/taskbar with app pinning and switching</ns0:t>
  </ns0:si>
  <ns0:si>
    <ns0:t>Extends the existing taskbar (which already shows open windows) to pinned, launchable apps, not just running ones.</ns0:t>
  </ns0:si>
  <ns0:si>
    <ns0:t>Extend wm-rs's existing taskbar code with a pinned-apps list and launch-on-click.</ns0:t>
  </ns0:si>
  <ns0:si>
    <ns0:t>Add UDP socket support alongside the existing TCP stack</ns0:t>
  </ns0:si>
  <ns0:si>
    <ns0:t>Adds connectionless networking (DNS, DHCP, voice/game-style traffic) alongside the existing TCP stack, using the same socket syscalls.</ns0:t>
  </ns0:si>
  <ns0:si>
    <ns0:t>New udp.rs alongside the existing tcp.rs, reusing the existing SYS_SOCKET/SYS_BIND syscalls with a SOCK_DGRAM type.</ns0:t>
  </ns0:si>
  <ns0:si>
    <ns0:t>File manager app</ns0:t>
  </ns0:si>
  <ns0:si>
    <ns0:t>Browse, open, move, and delete files with the mouse - the single most-used app on any real desktop OS.</ns0:t>
  </ns0:si>
  <ns0:si>
    <ns0:t>A new ring-3 app built on the existing VFS syscalls (SYS_OPEN/SYS_READ/directory listing) plus the new graphics/windowing API.</ns0:t>
  </ns0:si>
  <ns0:si>
    <ns0:t>Month 2 - Graphics foundation</ns0:t>
  </ns0:si>
  <ns0:si>
    <ns0:t>VESA/VBE linear framebuffer driver - real resolution and real color depth</ns0:t>
  </ns0:si>
  <ns0:si>
    <ns0:t>Settings app - the shell every future settings panel plugs into</ns0:t>
  </ns0:si>
  <ns0:si>
    <ns0:t>Switches the display from 1990s-era 320x200 text-mode graphics to a real, modern resolution and color depth - the single biggest visual upgrade in the whole plan.</ns0:t>
  </ns0:si>
  <ns0:si>
    <ns0:t>The one place every future settings panel plugs into - built once, extended repeatedly.</ns0:t>
  </ns0:si>
  <ns0:si>
    <ns0:t>A new ring-3 app with a simple plugin-panel structure, reading/writing the existing SYSTEM.CFG/USERS.CFG and future service configs.</ns0:t>
  </ns0:si>
  <ns0:si>
    <ns0:t>Query VBE mode info at boot (multiboot or real-mode BIOS callback), map the returned linear framebuffer into kernel space, and replace vga_put_pixel()'s backing store.</ns0:t>
  </ns0:si>
  <ns0:si>
    <ns0:t>In-window terminal app</ns0:t>
  </ns0:si>
  <ns0:si>
    <ns0:t>Runs the existing shell inside a real, resizable window instead of taking over the whole screen in text mode.</ns0:t>
  </ns0:si>
  <ns0:si>
    <ns0:t>A thin ring-3 wrapper that renders the shell's own text output into a window via the new graphics API, forwarding keystrokes back.</ns0:t>
  </ns0:si>
  <ns0:si>
    <ns0:t>VirtIO-GPU driver - genuine 2D/3D acceleration primitives</ns0:t>
  </ns0:si>
  <ns0:si>
    <ns0:t>Text editor app</ns0:t>
  </ns0:si>
  <ns0:si>
    <ns0:t>A real, genuine 2D/3D acceleration path for VMs and cloud hosts - achievable because VirtIO's protocol is open and simple compared to real hardware GPUs.</ns0:t>
  </ns0:si>
  <ns0:si>
    <ns0:t>A basic, real text editor - needed for any actual "use this as my computer" workflow, and a showcase for the new font rendering.</ns0:t>
  </ns0:si>
  <ns0:si>
    <ns0:t>New ring-3 app on the existing file-read/write syscalls plus the new font-rendering module.</ns0:t>
  </ns0:si>
  <ns0:si>
    <ns0:t>New kernel/drivers/virtiogpu/, following the existing virtio-blk/virtio-net driver shape already in the codebase (same transport, different device type).</ns0:t>
  </ns0:si>
  <ns0:si>
    <ns0:t>App launcher / software-store front-end for the existing signed packages</ns0:t>
  </ns0:si>
  <ns0:si>
    <ns0:t>A graphical front-end for the package system that already works end-to-end - the missing piece is only the UI.</ns0:t>
  </ns0:si>
  <ns0:si>
    <ns0:t>New ring-3 app calling the existing pkg install logic, listing available signed packages from a repository.</ns0:t>
  </ns0:si>
  <ns0:si>
    <ns0:t>New framebuffer-based graphics syscall API, designed to hand off to a GPU later without a rewrite</ns0:t>
  </ns0:si>
  <ns0:si>
    <ns0:t>Replaces today's SYS_GFX_PUT_PIXEL-style calls with a real, framebuffer-based API that can hand off to GPU acceleration later without every app rewriting its own drawing code.</ns0:t>
  </ns0:si>
  <ns0:si>
    <ns0:t>Graphical login screen</ns0:t>
  </ns0:si>
  <ns0:si>
    <ns0:t>New syscalls in the existing kernel/arch/x86/cpu/syscall.c dispatch table, backed by the new framebuffer/GPU driver underneath.</ns0:t>
  </ns0:si>
  <ns0:si>
    <ns0:t>Replaces the current text-mode login prompt with a real, graphical one - the first thing any user sees.</ns0:t>
  </ns0:si>
  <ns0:si>
    <ns0:t>A privileged ring-3 app run before the desktop shell starts, using the existing SYS_LOGIN syscall underneath a new graphical form.</ns0:t>
  </ns0:si>
  <ns0:si>
    <ns0:t>Month 4 - Server &amp; admin UI</ns0:t>
  </ns0:si>
  <ns0:si>
    <ns0:t>Shared-memory IPC primitive for fast pixel handoff between the compositor and apps</ns0:t>
  </ns0:si>
  <ns0:si>
    <ns0:t>Network and firewall settings panel</ns0:t>
  </ns0:si>
  <ns0:si>
    <ns0:t>Graphical control for the new firewall and existing network config, instead of editing config files by hand.</ns0:t>
  </ns0:si>
  <ns0:si>
    <ns0:t>Lets the compositor and an app share a block of memory directly for pixel data instead of copying every frame through a syscall - the real difference between laggy and smooth.</ns0:t>
  </ns0:si>
  <ns0:si>
    <ns0:t>A panel plugged into the Settings app, reading/writing the firewall rule table from the kernel-side firewall task.</ns0:t>
  </ns0:si>
  <ns0:si>
    <ns0:t>A new SYS_SHM_CREATE/SYS_SHM_MAP syscall pair building on the existing per-process page-directory model, mapping the same physical pages into two processes' address spaces.</ns0:t>
  </ns0:si>
  <ns0:si>
    <ns0:t>User and permissions management panel</ns0:t>
  </ns0:si>
  <ns0:si>
    <ns0:t>A graphical useradd-equivalent - create accounts, set admin/non-admin status, without needing the shell.</ns0:t>
  </ns0:si>
  <ns0:si>
    <ns0:t>A Settings-app panel calling the existing USERS.CFG read/write logic already proven in kernel/rust/users.rs.</ns0:t>
  </ns0:si>
  <ns0:si>
    <ns0:t>Month 3 - Kernel support for apps</ns0:t>
  </ns0:si>
  <ns0:si>
    <ns0:t>App-to-app messaging primitive, beyond today's pipes</ns0:t>
  </ns0:si>
  <ns0:si>
    <ns0:t>A structured way for one app to send another a message, not just raw bytes - the backbone of things like "the file manager tells the text editor to open a file."</ns0:t>
  </ns0:si>
  <ns0:si>
    <ns0:t>Log viewer app, reading the new structured kernel logs</ns0:t>
  </ns0:si>
  <ns0:si>
    <ns0:t>Build on the existing pipe/SYS_PIPE infrastructure, adding message framing and a simple addressing scheme by process ID or registered service name.</ns0:t>
  </ns0:si>
  <ns0:si>
    <ns0:t>A graphical way to read the new structured kernel logs - the visible half of "why did this crash."</ns0:t>
  </ns0:si>
  <ns0:si>
    <ns0:t>New ring-3 app querying the new log-query syscall, with basic filtering/search.</ns0:t>
  </ns0:si>
  <ns0:si>
    <ns0:t>Service manager panel showing what's running, crashed, or restarting</ns0:t>
  </ns0:si>
  <ns0:si>
    <ns0:t>Audio mixing support so multiple apps can share one output</ns0:t>
  </ns0:si>
  <ns0:si>
    <ns0:t>Shows what novainit is actually supervising right now, instead of that state only being visible in a log.</ns0:t>
  </ns0:si>
  <ns0:si>
    <ns0:t>Lets multiple apps play sound at once through the one physical AC97 output, instead of only one program owning the audio device at a time.</ns0:t>
  </ns0:si>
  <ns0:si>
    <ns0:t>A Settings-app panel querying novainit's own status via a new, small query syscall or shared status table.</ns0:t>
  </ns0:si>
  <ns0:si>
    <ns0:t>A mixing buffer that sums multiple apps' PCM streams before handing the result to the existing AC97 driver.</ns0:t>
  </ns0:si>
  <ns0:si>
    <ns0:t>Month 5 - Power-user &amp; system apps</ns0:t>
  </ns0:si>
  <ns0:si>
    <ns0:t>Device manager listing connected NVMe/USB/Wi-Fi hardware</ns0:t>
  </ns0:si>
  <ns0:si>
    <ns0:t>Lets a user actually see what hardware the machine has, using the new drivers from the kernel track's Month 5.</ns0:t>
  </ns0:si>
  <ns0:si>
    <ns0:t>A Settings-app panel querying the existing driver-registration table for currently-registered devices.</ns0:t>
  </ns0:si>
  <ns0:si>
    <ns0:t>Per-process resource limits (memory/CPU quotas) as a real scheduler feature</ns0:t>
  </ns0:si>
  <ns0:si>
    <ns0:t>Stops one runaway process from starving the whole machine, by giving the scheduler real memory/CPU quotas to enforce.</ns0:t>
  </ns0:si>
  <ns0:si>
    <ns0:t>Extend process_t (kernel/task/process.h) with quota fields, checked in the existing scheduler tick and the heap allocator's own allocation path.</ns0:t>
  </ns0:si>
  <ns0:si>
    <ns0:t>Activity/performance monitor app</ns0:t>
  </ns0:si>
  <ns0:si>
    <ns0:t>Shows CPU/memory/process activity live - the "why is my machine slow" tool every real OS has.</ns0:t>
  </ns0:si>
  <ns0:si>
    <ns0:t>A new ring-3 app polling the scheduler/process-table state via a new, read-only query syscall.</ns0:t>
  </ns0:si>
  <ns0:si>
    <ns0:t>Month 4 - Server &amp; security core</ns0:t>
  </ns0:si>
  <ns0:si>
    <ns0:t>Mandatory access control enforcement, extending the existing per-process capability model</ns0:t>
  </ns0:si>
  <ns0:si>
    <ns0:t>A second, stricter layer of confinement beyond today's capability lists - an app can't do anything outside its own declared profile, even if a bug tries to.</ns0:t>
  </ns0:si>
  <ns0:si>
    <ns0:t>Accessibility basics: font scaling, high-contrast mode</ns0:t>
  </ns0:si>
  <ns0:si>
    <ns0:t>A new policy table checked in the existing syscall entry path alongside the existing allowed_files[]/allowed_hosts[] checks, loaded from a per-app profile file.</ns0:t>
  </ns0:si>
  <ns0:si>
    <ns0:t>Font scaling and high-contrast mode - a real, not-optional baseline for low vision, and cheap once font rendering exists.</ns0:t>
  </ns0:si>
  <ns0:si>
    <ns0:t>Global settings read by the font-rendering module and the compositor's own color choices.</ns0:t>
  </ns0:si>
  <ns0:si>
    <ns0:t>A real, stateful firewall in the network stack</ns0:t>
  </ns0:si>
  <ns0:si>
    <ns0:t>Multi-window productivity polish - refining window snapping</ns0:t>
  </ns0:si>
  <ns0:si>
    <ns0:t>Blocks or allows network traffic based on rules and connection state, not just "is this port open" - the baseline expectation for any networked machine.</ns0:t>
  </ns0:si>
  <ns0:si>
    <ns0:t>Refines the existing window-snapping behavior - smoother edges, better multi-monitor-ready geometry.</ns0:t>
  </ns0:si>
  <ns0:si>
    <ns0:t>A new filtering stage in the existing tcp.rs/ip.c receive path, checking a rule table before a packet is accepted.</ns0:t>
  </ns0:si>
  <ns0:si>
    <ns0:t>Direct refinement of wm-rs's own existing snap logic.</ns0:t>
  </ns0:si>
  <ns0:si>
    <ns0:t>Month 6 - First impressions</ns0:t>
  </ns0:si>
  <ns0:si>
    <ns0:t>Graphical installer flow</ns0:t>
  </ns0:si>
  <ns0:si>
    <ns0:t>The user-facing wizard for "install NovaOS on this machine," pairing with the kernel-side partitioning engine.</ns0:t>
  </ns0:si>
  <ns0:si>
    <ns0:t>A ring-3 app calling the new installer engine, walking the user through disk selection, account creation, and install progress.</ns0:t>
  </ns0:si>
  <ns0:si>
    <ns0:t>Structured, queryable kernel logging subsystem</ns0:t>
  </ns0:si>
  <ns0:si>
    <ns0:t>Crash reporter UI</ns0:t>
  </ns0:si>
  <ns0:si>
    <ns0:t>Replaces the plain serial-port log stream with real, timestamped, queryable, per-service log entries - the difference between "why did this crash" being answerable or not.</ns0:t>
  </ns0:si>
  <ns0:si>
    <ns0:t>Shows a real crash report to the user instead of the machine just quietly rebooting.</ns0:t>
  </ns0:si>
  <ns0:si>
    <ns0:t>A ring-buffer log store in the kernel with a new query syscall, feeding both the existing kernel_log() call sites and novainit's own service output.</ns0:t>
  </ns0:si>
  <ns0:si>
    <ns0:t>A ring-3 app shown automatically at boot when a pending crash record is found, reading the exported file.</ns0:t>
  </ns0:si>
  <ns0:si>
    <ns0:t>"Check for updates" / apply-update UI</ns0:t>
  </ns0:si>
  <ns0:si>
    <ns0:t>The user-facing half of the new atomic update mechanism.</ns0:t>
  </ns0:si>
  <ns0:si>
    <ns0:t>Package-repository network protocol support, server side</ns0:t>
  </ns0:si>
  <ns0:si>
    <ns0:t>A Settings-app panel calling the update mechanism, showing progress and confirming before applying.</ns0:t>
  </ns0:si>
  <ns0:si>
    <ns0:t>The server-side counterpart to the existing pkg install-http client - lets a NovaOS machine serve signed packages to others.</ns0:t>
  </ns0:si>
  <ns0:si>
    <ns0:t>A server built on the existing kernel/rust/http.rs/TCP stack, serving from a directory of already-signed .PKG files.</ns0:t>
  </ns0:si>
  <ns0:si>
    <ns0:t>First-run setup wizard - accounts, network, preferences</ns0:t>
  </ns0:si>
  <ns0:si>
    <ns0:t>Walks a new user through account creation, network setup, and preferences on first boot.</ns0:t>
  </ns0:si>
  <ns0:si>
    <ns0:t>Extends the existing firstrun.c concept into a graphical ring-3 app, calling the same underlying account-creation logic.</ns0:t>
  </ns0:si>
  <ns0:si>
    <ns0:t>Month 5 - Driver breadth &amp; performance</ns0:t>
  </ns0:si>
  <ns0:si>
    <ns0:t>NVMe driver</ns0:t>
  </ns0:si>
  <ns0:si>
    <ns0:t>Total</ns0:t>
  </ns0:si>
  <ns0:si>
    <ns0:t>Modern SSD storage support - real laptops and servers use NVMe almost exclusively now.</ns0:t>
  </ns0:si>
  <ns0:si>
    <ns0:t>New kernel/drivers/nvme/, following the existing virtio-blk driver's "expose a block device to the VFS" shape.</ns0:t>
  </ns0:si>
  <ns0:si>
    <ns0:t>Full UI QA pass and end-user documentation</ns0:t>
  </ns0:si>
  <ns0:si>
    <ns0:t>A dedicated pass testing every app together, plus writing the end-user guide.</ns0:t>
  </ns0:si>
  <ns0:si>
    <ns0:t>Process work across every app built in the interface track.</ns0:t>
  </ns0:si>
  <ns0:si>
    <ns0:t>USB 3.0 (xHCI) driver</ns0:t>
  </ns0:si>
  <ns0:si>
    <ns0:t>Replaces today's USB 1.1-only (UHCI) support with real, high-speed USB for any modern external drive, webcam, or peripheral.</ns0:t>
  </ns0:si>
  <ns0:si>
    <ns0:t>New kernel/drivers/xhci/, reusing the existing UHCI driver's overall enumerate-the-root-hub structure.</ns0:t>
  </ns0:si>
  <ns0:si>
    <ns0:t>Wi-Fi driver for at least one common chipset</ns0:t>
  </ns0:si>
  <ns0:si>
    <ns0:t>Wireless networking - a real, practical gap for any laptop-class hardware target.</ns0:t>
  </ns0:si>
  <ns0:si>
    <ns0:t>New driver feeding into the existing network stack at the same layer RTL8139/virtio-net do today.</ns0:t>
  </ns0:si>
  <ns0:si>
    <ns0:t>Per-driver locking pass - replacing today's intentionally coarse filesystem/driver locks</ns0:t>
  </ns0:si>
  <ns0:si>
    <ns0:t>Replaces today's coarse, whole-filesystem locks with fine-grained ones so multiple cores can genuinely work on different files/drivers at once.</ns0:t>
  </ns0:si>
  <ns0:si>
    <ns0:t>Add locks scoped to each driver's own static state, following the same SpinLock&lt;T&gt; pattern already used for the process table and PMM.</ns0:t>
  </ns0:si>
  <ns0:si>
    <ns0:t>SMP scaling validation beyond today's two-CPU test configuration</ns0:t>
  </ns0:si>
  <ns0:si>
    <ns0:t>Confirms the scheduler and locking hold up with more than the two CPUs tested so far - real server hardware often has far more cores.</ns0:t>
  </ns0:si>
  <ns0:si>
    <ns0:t>Test-configuration work (QEMU -smp N for higher N), watching for lock contention or correctness issues the current 2-CPU testing wouldn't surface.</ns0:t>
  </ns0:si>
  <ns0:si>
    <ns0:t>% Complete</ns0:t>
  </ns0:si>
  <ns0:si>
    <ns0:t>Month 6 - Release hardening</ns0:t>
  </ns0:si>
  <ns0:si>
    <ns0:t>Atomic OS update mechanism - safe apply and rollback, kernel/bootloader hooks</ns0:t>
  </ns0:si>
  <ns0:si>
    <ns0:t>Lets the whole OS update safely - if power is lost mid-update, the machine boots the old, working version instead of a half-written one.</ns0:t>
  </ns0:si>
  <ns0:si>
    <ns0:t>Build on the existing package-signing infrastructure (kernel/rust/pkgsign.rs) plus the existing FAT32 journal, treating an update as a signed package applied to a secondary boot slot.</ns0:t>
  </ns0:si>
  <ns0:si>
    <ns0:t>Crash-dump auto-export hooks feeding the user-facing crash reporter</ns0:t>
  </ns0:si>
  <ns0:si>
    <ns0:t>Connects the existing kernel-only crash-dump recorder to something a user can actually see, instead of it only living on a hidden disk partition.</ns0:t>
  </ns0:si>
  <ns0:si>
    <ns0:t>A boot-time check extending the existing "pending crash" flag check, copying the crash record to a well-known file the new crash-reporter app can read.</ns0:t>
  </ns0:si>
  <ns0:si>
    <ns0:t>Full kernel security and regression audit</ns0:t>
  </ns0:si>
  <ns0:si>
    <ns0:t>A deliberate, dedicated pass re-checking every capability/permission boundary added across the whole plan before calling the kernel release-ready.</ns0:t>
  </ns0:si>
  <ns0:si>
    <ns0:t>Re-run and extend the existing test_runner.py assertion suite, plus manual review of every new syscall's own permission checks.</ns0:t>
  </ns0:si>
  <ns0:si>
    <ns0:t>On-disk partitioning/formatting engine backing the installer</ns0:t>
  </ns0:si>
  <ns0:si>
    <ns0:t>The actual disk-writing logic behind "install NovaOS to this machine" - partitioning and formatting a real disk, not just booting a prebuilt test image.</ns0:t>
  </ns0:si>
  <ns0:si>
    <ns0:t>A tool built on the existing tools/build-disk-image.sh logic and the existing FAT32/journal code, adapted to write to a real block device.</ns0:t>
  </ns0:si>
  <ns0:si>
    <ns0:t>Overall</ns0:t>
  </ns0:si>
  <ns0:si>
    <ns0:t>Kernel Track by month</ns0:t>
  </ns0:si>
  <ns0:si>
    <ns0:t>Interface Track by month</ns0:t>
  </ns0:si>
  <ns0:si>
    <ns0:t>Language mix (kernel + interface tasks)</ns0:t>
  </ns0:si>
  <ns0:si>
    <ns0:t>Kernel tasks</ns0:t>
  </ns0:si>
  <ns0:si>
    <ns0:t>Interface tasks</ns0:t>
  </ns0:si>
  <ns0:si>
    <ns0:t>userland/ui-rs (libui.rlib): Color/ThemePalette (Dark/Light/HighContrast), 8-pt spacing scale, 5x7 printable ASCII typography, WidgetThemeSpec, Surface/BufferSurface32/8 drawing helpers. Linked into wm-rs.</ns0:t>
  </ns0:si>
  <ns0:si>
    <ns0:t>Supervised under novainit as PID 1 via SERVICES.CFG (restart=always, trusted=yes). Delegated can_open_any_file/can_spawn capabilities. exit/logout commands hooked for session respawn.</ns0:t>
  </ns0:si>
  <ns0:si>
    <ns0:t>Ported wm-rs to SYS_FB_* framebuffer graphics API. Renders 32-bit XRGB into BufferSurface32 with zero per-pixel syscalls; single-syscall present via SYS_FB_PRESENT. Tested on 1024x768 and 320x200.</ns0:t>
  </ns0:si>
  <ns0:si>
    <ns0:t>New no_std font module (userland/ui-rs/src/font.rs) with multiple sizes (8px Small, 16px Regular, 24px Large, scalable Vector), proportional &amp; monospace metrics, subpixel and 3x3 supersampled area antialiasing, analytical vector stroke rasterizer. Called from wm-rs compositor and UI widgets.</ns0:t>
  </ns0:si>
  <ns0:si>
    <ns0: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ns0:t>
  </ns0:si>
  <ns0:si>
    <ns0:t>Persistent top-of-screen menu bar across the display (userland/ui-rs/src/menu.rs, userland/wm-rs/wm.rs). Context-aware active window menus (Terminal, Files, Editor, System), interactive dropdown overlays with pointer cursor, action dispatch via MenuClickEvent back to focused app.</ns0:t>
  </ns0:si>
  <ns0:si>
    <ns0:t>Desktop dock &amp; taskbar system (userland/ui-rs/src/dock.rs, userland/wm-rs/wm.rs). Supports pinned launchable apps (Terminal, Files, Editor, System, Settings), active window switching, minimize-to-dock and restore, running indicator pips, launch-on-click, and dynamic pinning/unpinning.</ns0:t>
  </ns0:si>
  <ns0:si>
    <ns0: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ns0:t>
  </ns0:si>
  <ns0:si>
    <ns0: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ns0:t>
  </ns0:si>
  <ns0:si>
    <ns0: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ns0:t>
  </ns0:si>
  <ns0:si>
    <ns0: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ns0:t>
  </ns0:si>
  <ns0:si>
    <ns0: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ns0:t>
  </ns0:si>
  <ns0:si>
    <ns0: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ns0:t>
  </ns0:si>
  <ns0:si>
    <ns0: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ns0:t>
  </ns0:si>
  <ns0:si>
    <ns0: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ns0:t>
  </ns0:si>
  <ns0:si>
    <ns0: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ns0:t>
  </ns0:si>
  <ns0:si>
    <ns0: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ns0:t>
  </ns0:si>
  <ns0:si>
    <ns0: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ns0:t>
  </ns0:si>
</ns0:sst>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ns0:worksheet xmlns:ns0="http://schemas.openxmlformats.org/spreadsheetml/2006/main" xmlns:ns1="http://schemas.openxmlformats.org/officeDocument/2006/relationships">
  <ns0:sheetPr>
    <ns0:pageSetUpPr fitToPage="1"/>
  </ns0:sheetPr>
  <ns0:sheetViews>
    <ns0:sheetView showGridLines="0" workbookViewId="0"/>
  </ns0:sheetViews>
  <ns0:sheetFormatPr customHeight="1" defaultColWidth="14.43" defaultRowHeight="15.0"/>
  <ns0:cols>
    <ns0:col customWidth="1" min="1" max="1" width="34.0"/>
    <ns0:col customWidth="1" min="2" max="3" width="12.0"/>
    <ns0:col customWidth="1" min="4" max="4" width="14.0"/>
    <ns0:col customWidth="1" min="5" max="7" width="12.0"/>
    <ns0:col customWidth="1" min="8" max="26" width="8.71"/>
  </ns0:cols>
  <ns0:sheetData>
    <ns0:row r="1">
      <ns0:c r="A1" s="4" t="s">
        <ns0:v>1</ns0:v>
      </ns0:c>
    </ns0:row>
    <ns0:row r="2">
      <ns0:c r="A2" s="6" t="s">
        <ns0:v>12</ns0:v>
      </ns0:c>
    </ns0:row>
    <ns0:row r="4">
      <ns0:c r="A4" s="8" t="s">
        <ns0:v>24</ns0:v>
      </ns0:c>
      <ns0:c r="C4" s="14" t="s">
        <ns0:v>3</ns0:v>
      </ns0:c>
      <ns0:c r="E4" s="15" t="s">
        <ns0:v>41</ns0:v>
      </ns0:c>
    </ns0:row>
    <ns0:row r="5">
      <ns0:c r="A5" s="16" t="s">
        <ns0:v>27</ns0:v>
      </ns0:c>
      <ns0:c r="B5" s="17">
        <ns0:f>COUNTIF('Kernel Track'!F2:F27,"Done")</ns0:f>
        <ns0:v>26</ns0:v>
      </ns0:c>
      <ns0:c r="C5" s="16" t="s">
        <ns0:v>27</ns0:v>
      </ns0:c>
      <ns0:c r="D5" s="17">
        <ns0:f>COUNTIF('Interface Track'!F2:F27,"Done")</ns0:f>
        <ns0:v>18</ns0:v>
      </ns0:c>
      <ns0:c r="E5" s="16" t="s">
        <ns0:v>27</ns0:v>
      </ns0:c>
      <ns0:c r="F5" s="17">
        <ns0:f>COUNTIF(Release!F2:F5,"Done")</ns0:f>
        <ns0:v>0</ns0:v>
      </ns0:c>
    </ns0:row>
    <ns0:row r="6">
      <ns0:c r="A6" s="16" t="s">
        <ns0:v>168</ns0:v>
      </ns0:c>
      <ns0:c r="B6" s="17">
        <ns0:f>COUNTA('Kernel Track'!F2:F27)</ns0:f>
        <ns0:v>26</ns0:v>
      </ns0:c>
      <ns0:c r="C6" s="16" t="s">
        <ns0:v>168</ns0:v>
      </ns0:c>
      <ns0:c r="D6" s="17">
        <ns0:f>COUNTA('Interface Track'!F2:F27)</ns0:f>
        <ns0:v>26</ns0:v>
      </ns0:c>
      <ns0:c r="E6" s="16" t="s">
        <ns0:v>168</ns0:v>
      </ns0:c>
      <ns0:c r="F6" s="17">
        <ns0:f>COUNTA(Release!F2:F5)</ns0:f>
        <ns0:v>4</ns0:v>
      </ns0:c>
    </ns0:row>
    <ns0:row r="7">
      <ns0:c r="A7" s="16" t="s">
        <ns0:v>186</ns0:v>
      </ns0:c>
      <ns0:c r="B7" s="18">
        <ns0:f>B5/B6</ns0:f>
        <ns0:v>1.0</ns0:v>
      </ns0:c>
      <ns0:c r="C7" s="16" t="s">
        <ns0:v>186</ns0:v>
      </ns0:c>
      <ns0:c r="D7" s="19">
        <ns0:f>D5/D6</ns0:f>
        <ns0:v>0.6923076923076923</ns0:v>
      </ns0:c>
      <ns0:c r="E7" s="16" t="s">
        <ns0:v>186</ns0:v>
      </ns0:c>
      <ns0:c r="F7" s="20">
        <ns0:f>F5/F6</ns0:f>
        <ns0:v>0</ns0:v>
      </ns0:c>
    </ns0:row>
    <ns0:row r="9">
      <ns0:c r="A9" s="21" t="s">
        <ns0:v>200</ns0:v>
      </ns0:c>
    </ns0:row>
    <ns0:row r="10">
      <ns0:c r="A10" s="16" t="s">
        <ns0:v>27</ns0:v>
      </ns0:c>
      <ns0:c r="B10" s="17">
        <ns0:f t="shared" ref="B10:B11" si="1">B5+D5+F5</ns0:f>
        <ns0:v>44</ns0:v>
      </ns0:c>
    </ns0:row>
    <ns0:row r="11">
      <ns0:c r="A11" s="16" t="s">
        <ns0:v>168</ns0:v>
      </ns0:c>
      <ns0:c r="B11" s="17">
        <ns0:f t="shared" si="1"/>
        <ns0:v>56</ns0:v>
      </ns0:c>
    </ns0:row>
    <ns0:row r="12">
      <ns0:c r="A12" s="16" t="s">
        <ns0:v>186</ns0:v>
      </ns0:c>
      <ns0:c r="B12" s="22">
        <ns0:f>B10/B11</ns0:f>
        <ns0:v>0.7857142857142857</ns0:v>
      </ns0:c>
    </ns0:row>
    <ns0:row r="14">
      <ns0:c r="A14" s="8" t="s">
        <ns0:v>201</ns0:v>
      </ns0:c>
    </ns0:row>
    <ns0:row r="15">
      <ns0:c r="A15" s="23" t="s">
        <ns0:v>0</ns0:v>
      </ns0:c>
      <ns0:c r="B15" s="23" t="s">
        <ns0:v>27</ns0:v>
      </ns0:c>
      <ns0:c r="C15" s="23" t="s">
        <ns0:v>168</ns0:v>
      </ns0:c>
      <ns0:c r="D15" s="23" t="s">
        <ns0:v>186</ns0:v>
      </ns0:c>
    </ns0:row>
    <ns0:row r="16">
      <ns0:c r="A16" s="17" t="s">
        <ns0:v>8</ns0:v>
      </ns0:c>
      <ns0:c r="B16" s="17">
        <ns0:f>COUNTIFS('Kernel Track'!A2:A1000,"Month 1 - Foundation",'Kernel Track'!F2:F1000,"Done")</ns0:f>
        <ns0:v>6</ns0:v>
      </ns0:c>
      <ns0:c r="C16" s="17">
        <ns0:f>COUNTIF('Kernel Track'!A2:A1000,"Month 1 - Foundation")</ns0:f>
        <ns0:v>6</ns0:v>
      </ns0:c>
      <ns0:c r="D16" s="24">
        <ns0:f t="shared" ref="D16:D21" si="2">IFERROR(B16/C16,0)</ns0:f>
        <ns0:v>1</ns0:v>
      </ns0:c>
    </ns0:row>
    <ns0:row r="17">
      <ns0:c r="A17" s="17" t="s">
        <ns0:v>76</ns0:v>
      </ns0:c>
      <ns0:c r="B17" s="17">
        <ns0:f>COUNTIFS('Kernel Track'!A2:A1000,"Month 2 - Graphics foundation",'Kernel Track'!F2:F1000,"Done")</ns0:f>
        <ns0:v>36</ns0:v>
      </ns0:c>
      <ns0:c r="C17" s="17">
        <ns0:f>COUNTIF('Kernel Track'!A2:A1000,"Month 2 - Graphics foundation")</ns0:f>
        <ns0:v>20</ns0:v>
      </ns0:c>
      <ns0:c r="D17" s="24">
        <ns0:f t="shared" si="2"/>
        <ns0:v>0.6428571428571429</ns0:v>
      </ns0:c>
    </ns0:row>
    <ns0:row r="18">
      <ns0:c r="A18" s="17" t="s">
        <ns0:v>111</ns0:v>
      </ns0:c>
      <ns0:c r="B18" s="17">
        <ns0:f>COUNTIFS('Kernel Track'!A2:A1000,"Month 3 - Kernel support for apps",'Kernel Track'!F2:F1000,"Done")</ns0:f>
        <ns0:v>3</ns0:v>
      </ns0:c>
      <ns0:c r="C18" s="17">
        <ns0:f>COUNTIF('Kernel Track'!A2:A1000,"Month 3 - Kernel support for apps")</ns0:f>
        <ns0:v>3</ns0:v>
      </ns0:c>
      <ns0:c r="D18" s="24">
        <ns0:f t="shared" si="2"/>
        <ns0:v>1</ns0:v>
      </ns0:c>
    </ns0:row>
    <ns0:row r="19">
      <ns0:c r="A19" s="17" t="s">
        <ns0:v>134</ns0:v>
      </ns0:c>
      <ns0:c r="B19" s="17">
        <ns0:f>COUNTIFS('Kernel Track'!A2:A1000,"Month 4 - Server &amp; security core",'Kernel Track'!F2:F1000,"Done")</ns0:f>
        <ns0:v>4</ns0:v>
      </ns0:c>
      <ns0:c r="C19" s="17">
        <ns0:f>COUNTIF('Kernel Track'!A2:A1000,"Month 4 - Server &amp; security core")</ns0:f>
        <ns0:v>4</ns0:v>
      </ns0:c>
      <ns0:c r="D19" s="24">
        <ns0:f t="shared" si="2"/>
        <ns0:v>1</ns0:v>
      </ns0:c>
    </ns0:row>
    <ns0:row r="20">
      <ns0:c r="A20" s="17" t="s">
        <ns0:v>166</ns0:v>
      </ns0:c>
      <ns0:c r="B20" s="17">
        <ns0:f>COUNTIFS('Kernel Track'!A2:A1000,"Month 5 - Driver breadth &amp; performance",'Kernel Track'!F2:F1000,"Done")</ns0:f>
        <ns0:v>5</ns0:v>
      </ns0:c>
      <ns0:c r="C20" s="17">
        <ns0:f>COUNTIF('Kernel Track'!A2:A1000,"Month 5 - Driver breadth &amp; performance")</ns0:f>
        <ns0:v>5</ns0:v>
      </ns0:c>
      <ns0:c r="D20" s="24">
        <ns0:f t="shared" si="2"/>
        <ns0:v>1</ns0:v>
      </ns0:c>
    </ns0:row>
    <ns0:row r="21" ht="15.75" customHeight="1">
      <ns0:c r="A21" s="17" t="s">
        <ns0:v>187</ns0:v>
      </ns0:c>
      <ns0:c r="B21" s="17">
        <ns0:f>COUNTIFS('Kernel Track'!A2:A1000,"Month 6 - Release hardening",'Kernel Track'!F2:F1000,"Done")</ns0:f>
        <ns0:v>4</ns0:v>
      </ns0:c>
      <ns0:c r="C21" s="17">
        <ns0:f>COUNTIF('Kernel Track'!A2:A1000,"Month 6 - Release hardening")</ns0:f>
        <ns0:v>4</ns0:v>
      </ns0:c>
      <ns0:c r="D21" s="24">
        <ns0:f t="shared" si="2"/>
        <ns0:v>1.0</ns0:v>
      </ns0:c>
    </ns0:row>
    <ns0:row r="22" ht="15.75" customHeight="1"/>
    <ns0:row r="23" ht="15.75" customHeight="1">
      <ns0:c r="A23" s="14" t="s">
        <ns0:v>202</ns0:v>
      </ns0:c>
    </ns0:row>
    <ns0:row r="24" ht="15.75" customHeight="1">
      <ns0:c r="A24" s="25" t="s">
        <ns0:v>0</ns0:v>
      </ns0:c>
      <ns0:c r="B24" s="25" t="s">
        <ns0:v>27</ns0:v>
      </ns0:c>
      <ns0:c r="C24" s="25" t="s">
        <ns0:v>168</ns0:v>
      </ns0:c>
      <ns0:c r="D24" s="25" t="s">
        <ns0:v>186</ns0:v>
      </ns0:c>
    </ns0:row>
    <ns0:row r="25" ht="15.75" customHeight="1">
      <ns0:c r="A25" s="17" t="s">
        <ns0:v>13</ns0:v>
      </ns0:c>
      <ns0:c r="B25" s="17">
        <ns0:f>COUNTIFS('Interface Track'!A2:A1000,"Month 1 - Prep",'Interface Track'!F2:F1000,"Done")</ns0:f>
        <ns0:v>2</ns0:v>
      </ns0:c>
      <ns0:c r="C25" s="17">
        <ns0:f>COUNTIF('Interface Track'!A2:A1000,"Month 1 - Prep")</ns0:f>
        <ns0:v>2</ns0:v>
      </ns0:c>
      <ns0:c r="D25" s="24">
        <ns0:f t="shared" ref="D25:D30" si="3">IFERROR(B25/C25,0)</ns0:f>
        <ns0:v>1.0</ns0:v>
      </ns0:c>
    </ns0:row>
    <ns0:row r="26" ht="15.75" customHeight="1">
      <ns0:c r="A26" s="17" t="s">
        <ns0:v>34</ns0:v>
      </ns0:c>
      <ns0:c r="B26" s="17">
        <ns0:f>COUNTIFS('Interface Track'!A2:A1000,"Month 2 - Compositor",'Interface Track'!F2:F1000,"Done")</ns0:f>
        <ns0:v>3</ns0:v>
      </ns0:c>
      <ns0:c r="C26" s="17">
        <ns0:f>COUNTIF('Interface Track'!A2:A1000,"Month 2 - Compositor")</ns0:f>
        <ns0:v>3</ns0:v>
      </ns0:c>
      <ns0:c r="D26" s="24">
        <ns0:f t="shared" si="3"/>
        <ns0:v>1.0</ns0:v>
      </ns0:c>
    </ns0:row>
    <ns0:row r="27" ht="15.75" customHeight="1">
      <ns0:c r="A27" s="17" t="s">
        <ns0:v>63</ns0:v>
      </ns0:c>
      <ns0:c r="B27" s="17">
        <ns0:f>COUNTIFS('Interface Track'!A2:A1000,"Month 3 - Core desktop apps",'Interface Track'!F2:F1000,"Done")</ns0:f>
        <ns0:v>8</ns0:v>
      </ns0:c>
      <ns0:c r="C27" s="17">
        <ns0:f>COUNTIF('Interface Track'!A2:A1000,"Month 3 - Core desktop apps")</ns0:f>
        <ns0:v>8</ns0:v>
      </ns0:c>
      <ns0:c r="D27" s="24">
        <ns0:f t="shared" si="3"/>
        <ns0:v>1.0</ns0:v>
      </ns0:c>
    </ns0:row>
    <ns0:row r="28" ht="15.75" customHeight="1">
      <ns0:c r="A28" s="17" t="s">
        <ns0:v>101</ns0:v>
      </ns0:c>
      <ns0:c r="B28" s="17">
        <ns0:f>COUNTIFS('Interface Track'!A2:A1000,"Month 4 - Server &amp; admin UI",'Interface Track'!F2:F1000,"Done")</ns0:f>
        <ns0:v>4</ns0:v>
      </ns0:c>
      <ns0:c r="C28" s="17">
        <ns0:f>COUNTIF('Interface Track'!A2:A1000,"Month 4 - Server &amp; admin UI")</ns0:f>
        <ns0:v>4</ns0:v>
      </ns0:c>
      <ns0:c r="D28" s="24">
        <ns0:f t="shared" si="3"/>
        <ns0:v>1.0</ns0:v>
      </ns0:c>
    </ns0:row>
    <ns0:row r="29" ht="15.75" customHeight="1">
      <ns0:c r="A29" s="17" t="s">
        <ns0:v>124</ns0:v>
      </ns0:c>
      <ns0:c r="B29" s="17">
        <ns0:f>COUNTIFS('Interface Track'!A2:A1000,"Month 5 - Power-user &amp; system apps",'Interface Track'!F2:F1000,"Done")</ns0:f>
        <ns0:v>1</ns0:v>
      </ns0:c>
      <ns0:c r="C29" s="17">
        <ns0:f>COUNTIF('Interface Track'!A2:A1000,"Month 5 - Power-user &amp; system apps")</ns0:f>
        <ns0:v>4</ns0:v>
      </ns0:c>
      <ns0:c r="D29" s="24">
        <ns0:f t="shared" si="3"/>
        <ns0:v>0.25</ns0:v>
      </ns0:c>
    </ns0:row>
    <ns0:row r="30" ht="15.75" customHeight="1">
      <ns0:c r="A30" s="17" t="s">
        <ns0:v>147</ns0:v>
      </ns0:c>
      <ns0:c r="B30" s="17">
        <ns0:f>COUNTIFS('Interface Track'!A2:A1000,"Month 6 - First impressions",'Interface Track'!F2:F1000,"Done")</ns0:f>
        <ns0:v>0</ns0:v>
      </ns0:c>
      <ns0:c r="C30" s="17">
        <ns0:f>COUNTIF('Interface Track'!A2:A1000,"Month 6 - First impressions")</ns0:f>
        <ns0:v>5</ns0:v>
      </ns0:c>
      <ns0:c r="D30" s="24">
        <ns0:f t="shared" si="3"/>
        <ns0:v>0</ns0:v>
      </ns0:c>
    </ns0:row>
    <ns0:row r="31" ht="15.75" customHeight="1"/>
    <ns0:row r="32" ht="15.75" customHeight="1">
      <ns0:c r="A32" s="21" t="s">
        <ns0:v>203</ns0:v>
      </ns0:c>
    </ns0:row>
    <ns0:row r="33" ht="15.75" customHeight="1">
      <ns0:c r="A33" s="26" t="s">
        <ns0:v>5</ns0:v>
      </ns0:c>
      <ns0:c r="B33" s="26" t="s">
        <ns0:v>204</ns0:v>
      </ns0:c>
      <ns0:c r="C33" s="26" t="s">
        <ns0:v>205</ns0:v>
      </ns0:c>
      <ns0:c r="D33" s="26" t="s">
        <ns0:v>168</ns0:v>
      </ns0:c>
    </ns0:row>
    <ns0:row r="34" ht="15.75" customHeight="1">
      <ns0:c r="A34" s="17" t="s">
        <ns0:v>23</ns0:v>
      </ns0:c>
      <ns0:c r="B34" s="17">
        <ns0:f>COUNTIF('Kernel Track'!E2:E27,"Rust")</ns0:f>
        <ns0:v>15</ns0:v>
      </ns0:c>
      <ns0:c r="C34" s="17">
        <ns0:f>COUNTIF('Interface Track'!E2:E27,"Rust")</ns0:f>
        <ns0:v>25</ns0:v>
      </ns0:c>
      <ns0:c r="D34" s="27">
        <ns0:f t="shared" ref="D34:D36" si="4">B34+C34</ns0:f>
        <ns0:v>40</ns0:v>
      </ns0:c>
    </ns0:row>
    <ns0:row r="35" ht="15.75" customHeight="1">
      <ns0:c r="A35" s="17" t="s">
        <ns0:v>20</ns0:v>
      </ns0:c>
      <ns0:c r="B35" s="17">
        <ns0:f>COUNTIF('Kernel Track'!E2:E27,"C")</ns0:f>
        <ns0:v>8</ns0:v>
      </ns0:c>
      <ns0:c r="C35" s="17">
        <ns0:f>COUNTIF('Interface Track'!E2:E27,"C")</ns0:f>
        <ns0:v>0</ns0:v>
      </ns0:c>
      <ns0:c r="D35" s="27">
        <ns0:f t="shared" si="4"/>
        <ns0:v>8</ns0:v>
      </ns0:c>
    </ns0:row>
    <ns0:row r="36" ht="15.75" customHeight="1">
      <ns0:c r="A36" s="17" t="s">
        <ns0:v>22</ns0:v>
      </ns0:c>
      <ns0:c r="B36" s="17">
        <ns0:f>COUNTIF('Kernel Track'!E2:E27,"N/A")</ns0:f>
        <ns0:v>3</ns0:v>
      </ns0:c>
      <ns0:c r="C36" s="17">
        <ns0:f>COUNTIF('Interface Track'!E2:E27,"N/A")</ns0:f>
        <ns0:v>2</ns0:v>
      </ns0:c>
      <ns0:c r="D36" s="27">
        <ns0:f t="shared" si="4"/>
        <ns0:v>5</ns0:v>
      </ns0:c>
    </ns0:row>
    <ns0:row r="37" ht="15.75" customHeight="1"/>
    <ns0:row r="38" ht="15.75" customHeight="1"/>
    <ns0:row r="39" ht="15.75" customHeight="1"/>
    <ns0:row r="40" ht="15.75" customHeight="1"/>
    <ns0:row r="41" ht="15.75" customHeight="1"/>
    <ns0:row r="42" ht="15.75" customHeight="1"/>
    <ns0:row r="43" ht="15.75" customHeight="1"/>
    <ns0:row r="44" ht="15.75" customHeight="1"/>
    <ns0:row r="45" ht="15.75" customHeight="1"/>
    <ns0:row r="46" ht="15.75" customHeight="1"/>
    <ns0:row r="47" ht="15.75" customHeight="1"/>
    <ns0:row r="48" ht="15.75" customHeight="1"/>
    <ns0:row r="49" ht="15.75" customHeight="1"/>
    <ns0:row r="50" ht="15.75" customHeight="1"/>
    <ns0:row r="51" ht="15.75" customHeight="1"/>
    <ns0:row r="52" ht="15.75" customHeight="1"/>
    <ns0:row r="53" ht="15.75" customHeight="1"/>
    <ns0:row r="54" ht="15.75" customHeight="1"/>
    <ns0:row r="55" ht="15.75" customHeight="1"/>
    <ns0:row r="56" ht="15.75" customHeight="1"/>
    <ns0:row r="57" ht="15.75" customHeight="1"/>
    <ns0:row r="58" ht="15.75" customHeight="1"/>
    <ns0:row r="59" ht="15.75" customHeight="1"/>
    <ns0:row r="60" ht="15.75" customHeight="1"/>
    <ns0:row r="61" ht="15.75" customHeight="1"/>
    <ns0:row r="62" ht="15.75" customHeight="1"/>
    <ns0:row r="63" ht="15.75" customHeight="1"/>
    <ns0:row r="64" ht="15.75" customHeight="1"/>
    <ns0:row r="65" ht="15.75" customHeight="1"/>
    <ns0:row r="66" ht="15.75" customHeight="1"/>
    <ns0:row r="67" ht="15.75" customHeight="1"/>
    <ns0:row r="68" ht="15.75" customHeight="1"/>
    <ns0:row r="69" ht="15.75" customHeight="1"/>
    <ns0:row r="70" ht="15.75" customHeight="1"/>
    <ns0:row r="71" ht="15.75" customHeight="1"/>
    <ns0:row r="72" ht="15.75" customHeight="1"/>
    <ns0:row r="73" ht="15.75" customHeight="1"/>
    <ns0:row r="74" ht="15.75" customHeight="1"/>
    <ns0:row r="75" ht="15.75" customHeight="1"/>
    <ns0:row r="76" ht="15.75" customHeight="1"/>
    <ns0:row r="77" ht="15.75" customHeight="1"/>
    <ns0:row r="78" ht="15.75" customHeight="1"/>
    <ns0:row r="79" ht="15.75" customHeight="1"/>
    <ns0:row r="80" ht="15.75" customHeight="1"/>
    <ns0:row r="81" ht="15.75" customHeight="1"/>
    <ns0:row r="82" ht="15.75" customHeight="1"/>
    <ns0:row r="83" ht="15.75" customHeight="1"/>
    <ns0:row r="84" ht="15.75" customHeight="1"/>
    <ns0:row r="85" ht="15.75" customHeight="1"/>
    <ns0:row r="86" ht="15.75" customHeight="1"/>
    <ns0:row r="87" ht="15.75" customHeight="1"/>
    <ns0:row r="88" ht="15.75" customHeight="1"/>
    <ns0:row r="89" ht="15.75" customHeight="1"/>
    <ns0:row r="90" ht="15.75" customHeight="1"/>
    <ns0:row r="91" ht="15.75" customHeight="1"/>
    <ns0:row r="92" ht="15.75" customHeight="1"/>
    <ns0:row r="93" ht="15.75" customHeight="1"/>
    <ns0:row r="94" ht="15.75" customHeight="1"/>
    <ns0:row r="95" ht="15.75" customHeight="1"/>
    <ns0:row r="96" ht="15.75" customHeight="1"/>
    <ns0:row r="97" ht="15.75" customHeight="1"/>
    <ns0:row r="98" ht="15.75" customHeight="1"/>
    <ns0:row r="99" ht="15.75" customHeight="1"/>
    <ns0:row r="100" ht="15.75" customHeight="1"/>
    <ns0:row r="101" ht="15.75" customHeight="1"/>
    <ns0:row r="102" ht="15.75" customHeight="1"/>
    <ns0:row r="103" ht="15.75" customHeight="1"/>
    <ns0:row r="104" ht="15.75" customHeight="1"/>
    <ns0:row r="105" ht="15.75" customHeight="1"/>
    <ns0:row r="106" ht="15.75" customHeight="1"/>
    <ns0:row r="107" ht="15.75" customHeight="1"/>
    <ns0:row r="108" ht="15.75" customHeight="1"/>
    <ns0:row r="109" ht="15.75" customHeight="1"/>
    <ns0:row r="110" ht="15.75" customHeight="1"/>
    <ns0:row r="111" ht="15.75" customHeight="1"/>
    <ns0:row r="112" ht="15.75" customHeight="1"/>
    <ns0:row r="113" ht="15.75" customHeight="1"/>
    <ns0:row r="114" ht="15.75" customHeight="1"/>
    <ns0:row r="115" ht="15.75" customHeight="1"/>
    <ns0:row r="116" ht="15.75" customHeight="1"/>
    <ns0:row r="117" ht="15.75" customHeight="1"/>
    <ns0:row r="118" ht="15.75" customHeight="1"/>
    <ns0:row r="119" ht="15.75" customHeight="1"/>
    <ns0:row r="120" ht="15.75" customHeight="1"/>
    <ns0:row r="121" ht="15.75" customHeight="1"/>
    <ns0:row r="122" ht="15.75" customHeight="1"/>
    <ns0:row r="123" ht="15.75" customHeight="1"/>
    <ns0:row r="124" ht="15.75" customHeight="1"/>
    <ns0:row r="125" ht="15.75" customHeight="1"/>
    <ns0:row r="126" ht="15.75" customHeight="1"/>
    <ns0:row r="127" ht="15.75" customHeight="1"/>
    <ns0:row r="128" ht="15.75" customHeight="1"/>
    <ns0:row r="129" ht="15.75" customHeight="1"/>
    <ns0:row r="130" ht="15.75" customHeight="1"/>
    <ns0:row r="131" ht="15.75" customHeight="1"/>
    <ns0:row r="132" ht="15.75" customHeight="1"/>
    <ns0:row r="133" ht="15.75" customHeight="1"/>
    <ns0:row r="134" ht="15.75" customHeight="1"/>
    <ns0:row r="135" ht="15.75" customHeight="1"/>
    <ns0:row r="136" ht="15.75" customHeight="1"/>
    <ns0:row r="137" ht="15.75" customHeight="1"/>
    <ns0:row r="138" ht="15.75" customHeight="1"/>
    <ns0:row r="139" ht="15.75" customHeight="1"/>
    <ns0:row r="140" ht="15.75" customHeight="1"/>
    <ns0:row r="141" ht="15.75" customHeight="1"/>
    <ns0:row r="142" ht="15.75" customHeight="1"/>
    <ns0:row r="143" ht="15.75" customHeight="1"/>
    <ns0:row r="144" ht="15.75" customHeight="1"/>
    <ns0:row r="145" ht="15.75" customHeight="1"/>
    <ns0:row r="146" ht="15.75" customHeight="1"/>
    <ns0:row r="147" ht="15.75" customHeight="1"/>
    <ns0:row r="148" ht="15.75" customHeight="1"/>
    <ns0:row r="149" ht="15.75" customHeight="1"/>
    <ns0:row r="150" ht="15.75" customHeight="1"/>
    <ns0:row r="151" ht="15.75" customHeight="1"/>
    <ns0:row r="152" ht="15.75" customHeight="1"/>
    <ns0:row r="153" ht="15.75" customHeight="1"/>
    <ns0:row r="154" ht="15.75" customHeight="1"/>
    <ns0:row r="155" ht="15.75" customHeight="1"/>
    <ns0:row r="156" ht="15.75" customHeight="1"/>
    <ns0:row r="157" ht="15.75" customHeight="1"/>
    <ns0:row r="158" ht="15.75" customHeight="1"/>
    <ns0:row r="159" ht="15.75" customHeight="1"/>
    <ns0:row r="160" ht="15.75" customHeight="1"/>
    <ns0:row r="161" ht="15.75" customHeight="1"/>
    <ns0:row r="162" ht="15.75" customHeight="1"/>
    <ns0:row r="163" ht="15.75" customHeight="1"/>
    <ns0:row r="164" ht="15.75" customHeight="1"/>
    <ns0:row r="165" ht="15.75" customHeight="1"/>
    <ns0:row r="166" ht="15.75" customHeight="1"/>
    <ns0:row r="167" ht="15.75" customHeight="1"/>
    <ns0:row r="168" ht="15.75" customHeight="1"/>
    <ns0:row r="169" ht="15.75" customHeight="1"/>
    <ns0:row r="170" ht="15.75" customHeight="1"/>
    <ns0:row r="171" ht="15.75" customHeight="1"/>
    <ns0:row r="172" ht="15.75" customHeight="1"/>
    <ns0:row r="173" ht="15.75" customHeight="1"/>
    <ns0:row r="174" ht="15.75" customHeight="1"/>
    <ns0:row r="175" ht="15.75" customHeight="1"/>
    <ns0:row r="176" ht="15.75" customHeight="1"/>
    <ns0:row r="177" ht="15.75" customHeight="1"/>
    <ns0:row r="178" ht="15.75" customHeight="1"/>
    <ns0:row r="179" ht="15.75" customHeight="1"/>
    <ns0:row r="180" ht="15.75" customHeight="1"/>
    <ns0:row r="181" ht="15.75" customHeight="1"/>
    <ns0:row r="182" ht="15.75" customHeight="1"/>
    <ns0:row r="183" ht="15.75" customHeight="1"/>
    <ns0:row r="184" ht="15.75" customHeight="1"/>
    <ns0:row r="185" ht="15.75" customHeight="1"/>
    <ns0:row r="186" ht="15.75" customHeight="1"/>
    <ns0:row r="187" ht="15.75" customHeight="1"/>
    <ns0:row r="188" ht="15.75" customHeight="1"/>
    <ns0:row r="189" ht="15.75" customHeight="1"/>
    <ns0:row r="190" ht="15.75" customHeight="1"/>
    <ns0:row r="191" ht="15.75" customHeight="1"/>
    <ns0:row r="192" ht="15.75" customHeight="1"/>
    <ns0:row r="193" ht="15.75" customHeight="1"/>
    <ns0:row r="194" ht="15.75" customHeight="1"/>
    <ns0:row r="195" ht="15.75" customHeight="1"/>
    <ns0:row r="196" ht="15.75" customHeight="1"/>
    <ns0:row r="197" ht="15.75" customHeight="1"/>
    <ns0:row r="198" ht="15.75" customHeight="1"/>
    <ns0:row r="199" ht="15.75" customHeight="1"/>
    <ns0:row r="200" ht="15.75" customHeight="1"/>
    <ns0:row r="201" ht="15.75" customHeight="1"/>
    <ns0:row r="202" ht="15.75" customHeight="1"/>
    <ns0:row r="203" ht="15.75" customHeight="1"/>
    <ns0:row r="204" ht="15.75" customHeight="1"/>
    <ns0:row r="205" ht="15.75" customHeight="1"/>
    <ns0:row r="206" ht="15.75" customHeight="1"/>
    <ns0:row r="207" ht="15.75" customHeight="1"/>
    <ns0:row r="208" ht="15.75" customHeight="1"/>
    <ns0:row r="209" ht="15.75" customHeight="1"/>
    <ns0:row r="210" ht="15.75" customHeight="1"/>
    <ns0:row r="211" ht="15.75" customHeight="1"/>
    <ns0:row r="212" ht="15.75" customHeight="1"/>
    <ns0:row r="213" ht="15.75" customHeight="1"/>
    <ns0:row r="214" ht="15.75" customHeight="1"/>
    <ns0:row r="215" ht="15.75" customHeight="1"/>
    <ns0:row r="216" ht="15.75" customHeight="1"/>
    <ns0:row r="217" ht="15.75" customHeight="1"/>
    <ns0:row r="218" ht="15.75" customHeight="1"/>
    <ns0:row r="219" ht="15.75" customHeight="1"/>
    <ns0:row r="220" ht="15.75" customHeight="1"/>
    <ns0:row r="221" ht="15.75" customHeight="1"/>
    <ns0:row r="222" ht="15.75" customHeight="1"/>
    <ns0:row r="223" ht="15.75" customHeight="1"/>
    <ns0:row r="224" ht="15.75" customHeight="1"/>
    <ns0:row r="225" ht="15.75" customHeight="1"/>
    <ns0:row r="226" ht="15.75" customHeight="1"/>
    <ns0:row r="227" ht="15.75" customHeight="1"/>
    <ns0:row r="228" ht="15.75" customHeight="1"/>
    <ns0:row r="229" ht="15.75" customHeight="1"/>
    <ns0:row r="230" ht="15.75" customHeight="1"/>
    <ns0:row r="231" ht="15.75" customHeight="1"/>
    <ns0:row r="232" ht="15.75" customHeight="1"/>
    <ns0:row r="233" ht="15.75" customHeight="1"/>
    <ns0:row r="234" ht="15.75" customHeight="1"/>
    <ns0:row r="235" ht="15.75" customHeight="1"/>
    <ns0:row r="236" ht="15.75" customHeight="1"/>
    <ns0:row r="237" ht="15.75" customHeight="1"/>
    <ns0:row r="238" ht="15.75" customHeight="1"/>
    <ns0:row r="239" ht="15.75" customHeight="1"/>
    <ns0:row r="240" ht="15.75" customHeight="1"/>
    <ns0:row r="241" ht="15.75" customHeight="1"/>
    <ns0:row r="242" ht="15.75" customHeight="1"/>
    <ns0:row r="243" ht="15.75" customHeight="1"/>
    <ns0:row r="244" ht="15.75" customHeight="1"/>
    <ns0:row r="245" ht="15.75" customHeight="1"/>
    <ns0:row r="246" ht="15.75" customHeight="1"/>
    <ns0:row r="247" ht="15.75" customHeight="1"/>
    <ns0:row r="248" ht="15.75" customHeight="1"/>
    <ns0:row r="249" ht="15.75" customHeight="1"/>
    <ns0:row r="250" ht="15.75" customHeight="1"/>
    <ns0:row r="251" ht="15.75" customHeight="1"/>
    <ns0:row r="252" ht="15.75" customHeight="1"/>
    <ns0:row r="253" ht="15.75" customHeight="1"/>
    <ns0:row r="254" ht="15.75" customHeight="1"/>
    <ns0:row r="255" ht="15.75" customHeight="1"/>
    <ns0:row r="256" ht="15.75" customHeight="1"/>
    <ns0:row r="257" ht="15.75" customHeight="1"/>
    <ns0:row r="258" ht="15.75" customHeight="1"/>
    <ns0:row r="259" ht="15.75" customHeight="1"/>
    <ns0:row r="260" ht="15.75" customHeight="1"/>
    <ns0:row r="261" ht="15.75" customHeight="1"/>
    <ns0:row r="262" ht="15.75" customHeight="1"/>
    <ns0:row r="263" ht="15.75" customHeight="1"/>
    <ns0:row r="264" ht="15.75" customHeight="1"/>
    <ns0:row r="265" ht="15.75" customHeight="1"/>
    <ns0:row r="266" ht="15.75" customHeight="1"/>
    <ns0:row r="267" ht="15.75" customHeight="1"/>
    <ns0:row r="268" ht="15.75" customHeight="1"/>
    <ns0:row r="269" ht="15.75" customHeight="1"/>
    <ns0:row r="270" ht="15.75" customHeight="1"/>
    <ns0:row r="271" ht="15.75" customHeight="1"/>
    <ns0:row r="272" ht="15.75" customHeight="1"/>
    <ns0:row r="273" ht="15.75" customHeight="1"/>
    <ns0:row r="274" ht="15.75" customHeight="1"/>
    <ns0:row r="275" ht="15.75" customHeight="1"/>
    <ns0:row r="276" ht="15.75" customHeight="1"/>
    <ns0:row r="277" ht="15.75" customHeight="1"/>
    <ns0:row r="278" ht="15.75" customHeight="1"/>
    <ns0:row r="279" ht="15.75" customHeight="1"/>
    <ns0:row r="280" ht="15.75" customHeight="1"/>
    <ns0:row r="281" ht="15.75" customHeight="1"/>
    <ns0:row r="282" ht="15.75" customHeight="1"/>
    <ns0:row r="283" ht="15.75" customHeight="1"/>
    <ns0:row r="284" ht="15.75" customHeight="1"/>
    <ns0:row r="285" ht="15.75" customHeight="1"/>
    <ns0:row r="286" ht="15.75" customHeight="1"/>
    <ns0:row r="287" ht="15.75" customHeight="1"/>
    <ns0:row r="288" ht="15.75" customHeight="1"/>
    <ns0:row r="289" ht="15.75" customHeight="1"/>
    <ns0:row r="290" ht="15.75" customHeight="1"/>
    <ns0:row r="291" ht="15.75" customHeight="1"/>
    <ns0:row r="292" ht="15.75" customHeight="1"/>
    <ns0:row r="293" ht="15.75" customHeight="1"/>
    <ns0:row r="294" ht="15.75" customHeight="1"/>
    <ns0:row r="295" ht="15.75" customHeight="1"/>
    <ns0:row r="296" ht="15.75" customHeight="1"/>
    <ns0:row r="297" ht="15.75" customHeight="1"/>
    <ns0:row r="298" ht="15.75" customHeight="1"/>
    <ns0:row r="299" ht="15.75" customHeight="1"/>
    <ns0:row r="300" ht="15.75" customHeight="1"/>
    <ns0:row r="301" ht="15.75" customHeight="1"/>
    <ns0:row r="302" ht="15.75" customHeight="1"/>
    <ns0:row r="303" ht="15.75" customHeight="1"/>
    <ns0:row r="304" ht="15.75" customHeight="1"/>
    <ns0:row r="305" ht="15.75" customHeight="1"/>
    <ns0:row r="306" ht="15.75" customHeight="1"/>
    <ns0:row r="307" ht="15.75" customHeight="1"/>
    <ns0:row r="308" ht="15.75" customHeight="1"/>
    <ns0:row r="309" ht="15.75" customHeight="1"/>
    <ns0:row r="310" ht="15.75" customHeight="1"/>
    <ns0:row r="311" ht="15.75" customHeight="1"/>
    <ns0:row r="312" ht="15.75" customHeight="1"/>
    <ns0:row r="313" ht="15.75" customHeight="1"/>
    <ns0:row r="314" ht="15.75" customHeight="1"/>
    <ns0:row r="315" ht="15.75" customHeight="1"/>
    <ns0:row r="316" ht="15.75" customHeight="1"/>
    <ns0:row r="317" ht="15.75" customHeight="1"/>
    <ns0:row r="318" ht="15.75" customHeight="1"/>
    <ns0:row r="319" ht="15.75" customHeight="1"/>
    <ns0:row r="320" ht="15.75" customHeight="1"/>
    <ns0:row r="321" ht="15.75" customHeight="1"/>
    <ns0:row r="322" ht="15.75" customHeight="1"/>
    <ns0:row r="323" ht="15.75" customHeight="1"/>
    <ns0:row r="324" ht="15.75" customHeight="1"/>
    <ns0:row r="325" ht="15.75" customHeight="1"/>
    <ns0:row r="326" ht="15.75" customHeight="1"/>
    <ns0:row r="327" ht="15.75" customHeight="1"/>
    <ns0:row r="328" ht="15.75" customHeight="1"/>
    <ns0:row r="329" ht="15.75" customHeight="1"/>
    <ns0:row r="330" ht="15.75" customHeight="1"/>
    <ns0:row r="331" ht="15.75" customHeight="1"/>
    <ns0:row r="332" ht="15.75" customHeight="1"/>
    <ns0:row r="333" ht="15.75" customHeight="1"/>
    <ns0:row r="334" ht="15.75" customHeight="1"/>
    <ns0:row r="335" ht="15.75" customHeight="1"/>
    <ns0:row r="336" ht="15.75" customHeight="1"/>
    <ns0:row r="337" ht="15.75" customHeight="1"/>
    <ns0:row r="338" ht="15.75" customHeight="1"/>
    <ns0:row r="339" ht="15.75" customHeight="1"/>
    <ns0:row r="340" ht="15.75" customHeight="1"/>
    <ns0:row r="341" ht="15.75" customHeight="1"/>
    <ns0:row r="342" ht="15.75" customHeight="1"/>
    <ns0:row r="343" ht="15.75" customHeight="1"/>
    <ns0:row r="344" ht="15.75" customHeight="1"/>
    <ns0:row r="345" ht="15.75" customHeight="1"/>
    <ns0:row r="346" ht="15.75" customHeight="1"/>
    <ns0:row r="347" ht="15.75" customHeight="1"/>
    <ns0:row r="348" ht="15.75" customHeight="1"/>
    <ns0:row r="349" ht="15.75" customHeight="1"/>
    <ns0:row r="350" ht="15.75" customHeight="1"/>
    <ns0:row r="351" ht="15.75" customHeight="1"/>
    <ns0:row r="352" ht="15.75" customHeight="1"/>
    <ns0:row r="353" ht="15.75" customHeight="1"/>
    <ns0:row r="354" ht="15.75" customHeight="1"/>
    <ns0:row r="355" ht="15.75" customHeight="1"/>
    <ns0:row r="356" ht="15.75" customHeight="1"/>
    <ns0:row r="357" ht="15.75" customHeight="1"/>
    <ns0:row r="358" ht="15.75" customHeight="1"/>
    <ns0:row r="359" ht="15.75" customHeight="1"/>
    <ns0:row r="360" ht="15.75" customHeight="1"/>
    <ns0:row r="361" ht="15.75" customHeight="1"/>
    <ns0:row r="362" ht="15.75" customHeight="1"/>
    <ns0:row r="363" ht="15.75" customHeight="1"/>
    <ns0:row r="364" ht="15.75" customHeight="1"/>
    <ns0:row r="365" ht="15.75" customHeight="1"/>
    <ns0:row r="366" ht="15.75" customHeight="1"/>
    <ns0:row r="367" ht="15.75" customHeight="1"/>
    <ns0:row r="368" ht="15.75" customHeight="1"/>
    <ns0:row r="369" ht="15.75" customHeight="1"/>
    <ns0:row r="370" ht="15.75" customHeight="1"/>
    <ns0:row r="371" ht="15.75" customHeight="1"/>
    <ns0:row r="372" ht="15.75" customHeight="1"/>
    <ns0:row r="373" ht="15.75" customHeight="1"/>
    <ns0:row r="374" ht="15.75" customHeight="1"/>
    <ns0:row r="375" ht="15.75" customHeight="1"/>
    <ns0:row r="376" ht="15.75" customHeight="1"/>
    <ns0:row r="377" ht="15.75" customHeight="1"/>
    <ns0:row r="378" ht="15.75" customHeight="1"/>
    <ns0:row r="379" ht="15.75" customHeight="1"/>
    <ns0:row r="380" ht="15.75" customHeight="1"/>
    <ns0:row r="381" ht="15.75" customHeight="1"/>
    <ns0:row r="382" ht="15.75" customHeight="1"/>
    <ns0:row r="383" ht="15.75" customHeight="1"/>
    <ns0:row r="384" ht="15.75" customHeight="1"/>
    <ns0:row r="385" ht="15.75" customHeight="1"/>
    <ns0:row r="386" ht="15.75" customHeight="1"/>
    <ns0:row r="387" ht="15.75" customHeight="1"/>
    <ns0:row r="388" ht="15.75" customHeight="1"/>
    <ns0:row r="389" ht="15.75" customHeight="1"/>
    <ns0:row r="390" ht="15.75" customHeight="1"/>
    <ns0:row r="391" ht="15.75" customHeight="1"/>
    <ns0:row r="392" ht="15.75" customHeight="1"/>
    <ns0:row r="393" ht="15.75" customHeight="1"/>
    <ns0:row r="394" ht="15.75" customHeight="1"/>
    <ns0:row r="395" ht="15.75" customHeight="1"/>
    <ns0:row r="396" ht="15.75" customHeight="1"/>
    <ns0:row r="397" ht="15.75" customHeight="1"/>
    <ns0:row r="398" ht="15.75" customHeight="1"/>
    <ns0:row r="399" ht="15.75" customHeight="1"/>
    <ns0:row r="400" ht="15.75" customHeight="1"/>
    <ns0:row r="401" ht="15.75" customHeight="1"/>
    <ns0:row r="402" ht="15.75" customHeight="1"/>
    <ns0:row r="403" ht="15.75" customHeight="1"/>
    <ns0:row r="404" ht="15.75" customHeight="1"/>
    <ns0:row r="405" ht="15.75" customHeight="1"/>
    <ns0:row r="406" ht="15.75" customHeight="1"/>
    <ns0:row r="407" ht="15.75" customHeight="1"/>
    <ns0:row r="408" ht="15.75" customHeight="1"/>
    <ns0:row r="409" ht="15.75" customHeight="1"/>
    <ns0:row r="410" ht="15.75" customHeight="1"/>
    <ns0:row r="411" ht="15.75" customHeight="1"/>
    <ns0:row r="412" ht="15.75" customHeight="1"/>
    <ns0:row r="413" ht="15.75" customHeight="1"/>
    <ns0:row r="414" ht="15.75" customHeight="1"/>
    <ns0:row r="415" ht="15.75" customHeight="1"/>
    <ns0:row r="416" ht="15.75" customHeight="1"/>
    <ns0:row r="417" ht="15.75" customHeight="1"/>
    <ns0:row r="418" ht="15.75" customHeight="1"/>
    <ns0:row r="419" ht="15.75" customHeight="1"/>
    <ns0:row r="420" ht="15.75" customHeight="1"/>
    <ns0:row r="421" ht="15.75" customHeight="1"/>
    <ns0:row r="422" ht="15.75" customHeight="1"/>
    <ns0:row r="423" ht="15.75" customHeight="1"/>
    <ns0:row r="424" ht="15.75" customHeight="1"/>
    <ns0:row r="425" ht="15.75" customHeight="1"/>
    <ns0:row r="426" ht="15.75" customHeight="1"/>
    <ns0:row r="427" ht="15.75" customHeight="1"/>
    <ns0:row r="428" ht="15.75" customHeight="1"/>
    <ns0:row r="429" ht="15.75" customHeight="1"/>
    <ns0:row r="430" ht="15.75" customHeight="1"/>
    <ns0:row r="431" ht="15.75" customHeight="1"/>
    <ns0:row r="432" ht="15.75" customHeight="1"/>
    <ns0:row r="433" ht="15.75" customHeight="1"/>
    <ns0:row r="434" ht="15.75" customHeight="1"/>
    <ns0:row r="435" ht="15.75" customHeight="1"/>
    <ns0:row r="436" ht="15.75" customHeight="1"/>
    <ns0:row r="437" ht="15.75" customHeight="1"/>
    <ns0:row r="438" ht="15.75" customHeight="1"/>
    <ns0:row r="439" ht="15.75" customHeight="1"/>
    <ns0:row r="440" ht="15.75" customHeight="1"/>
    <ns0:row r="441" ht="15.75" customHeight="1"/>
    <ns0:row r="442" ht="15.75" customHeight="1"/>
    <ns0:row r="443" ht="15.75" customHeight="1"/>
    <ns0:row r="444" ht="15.75" customHeight="1"/>
    <ns0:row r="445" ht="15.75" customHeight="1"/>
    <ns0:row r="446" ht="15.75" customHeight="1"/>
    <ns0:row r="447" ht="15.75" customHeight="1"/>
    <ns0:row r="448" ht="15.75" customHeight="1"/>
    <ns0:row r="449" ht="15.75" customHeight="1"/>
    <ns0:row r="450" ht="15.75" customHeight="1"/>
    <ns0:row r="451" ht="15.75" customHeight="1"/>
    <ns0:row r="452" ht="15.75" customHeight="1"/>
    <ns0:row r="453" ht="15.75" customHeight="1"/>
    <ns0:row r="454" ht="15.75" customHeight="1"/>
    <ns0:row r="455" ht="15.75" customHeight="1"/>
    <ns0:row r="456" ht="15.75" customHeight="1"/>
    <ns0:row r="457" ht="15.75" customHeight="1"/>
    <ns0:row r="458" ht="15.75" customHeight="1"/>
    <ns0:row r="459" ht="15.75" customHeight="1"/>
    <ns0:row r="460" ht="15.75" customHeight="1"/>
    <ns0:row r="461" ht="15.75" customHeight="1"/>
    <ns0:row r="462" ht="15.75" customHeight="1"/>
    <ns0:row r="463" ht="15.75" customHeight="1"/>
    <ns0:row r="464" ht="15.75" customHeight="1"/>
    <ns0:row r="465" ht="15.75" customHeight="1"/>
    <ns0:row r="466" ht="15.75" customHeight="1"/>
    <ns0:row r="467" ht="15.75" customHeight="1"/>
    <ns0:row r="468" ht="15.75" customHeight="1"/>
    <ns0:row r="469" ht="15.75" customHeight="1"/>
    <ns0:row r="470" ht="15.75" customHeight="1"/>
    <ns0:row r="471" ht="15.75" customHeight="1"/>
    <ns0:row r="472" ht="15.75" customHeight="1"/>
    <ns0:row r="473" ht="15.75" customHeight="1"/>
    <ns0:row r="474" ht="15.75" customHeight="1"/>
    <ns0:row r="475" ht="15.75" customHeight="1"/>
    <ns0:row r="476" ht="15.75" customHeight="1"/>
    <ns0:row r="477" ht="15.75" customHeight="1"/>
    <ns0:row r="478" ht="15.75" customHeight="1"/>
    <ns0:row r="479" ht="15.75" customHeight="1"/>
    <ns0:row r="480" ht="15.75" customHeight="1"/>
    <ns0:row r="481" ht="15.75" customHeight="1"/>
    <ns0:row r="482" ht="15.75" customHeight="1"/>
    <ns0:row r="483" ht="15.75" customHeight="1"/>
    <ns0:row r="484" ht="15.75" customHeight="1"/>
    <ns0:row r="485" ht="15.75" customHeight="1"/>
    <ns0:row r="486" ht="15.75" customHeight="1"/>
    <ns0:row r="487" ht="15.75" customHeight="1"/>
    <ns0:row r="488" ht="15.75" customHeight="1"/>
    <ns0:row r="489" ht="15.75" customHeight="1"/>
    <ns0:row r="490" ht="15.75" customHeight="1"/>
    <ns0:row r="491" ht="15.75" customHeight="1"/>
    <ns0:row r="492" ht="15.75" customHeight="1"/>
    <ns0:row r="493" ht="15.75" customHeight="1"/>
    <ns0:row r="494" ht="15.75" customHeight="1"/>
    <ns0:row r="495" ht="15.75" customHeight="1"/>
    <ns0:row r="496" ht="15.75" customHeight="1"/>
    <ns0:row r="497" ht="15.75" customHeight="1"/>
    <ns0:row r="498" ht="15.75" customHeight="1"/>
    <ns0:row r="499" ht="15.75" customHeight="1"/>
    <ns0:row r="500" ht="15.75" customHeight="1"/>
    <ns0:row r="501" ht="15.75" customHeight="1"/>
    <ns0:row r="502" ht="15.75" customHeight="1"/>
    <ns0:row r="503" ht="15.75" customHeight="1"/>
    <ns0:row r="504" ht="15.75" customHeight="1"/>
    <ns0:row r="505" ht="15.75" customHeight="1"/>
    <ns0:row r="506" ht="15.75" customHeight="1"/>
    <ns0:row r="507" ht="15.75" customHeight="1"/>
    <ns0:row r="508" ht="15.75" customHeight="1"/>
    <ns0:row r="509" ht="15.75" customHeight="1"/>
    <ns0:row r="510" ht="15.75" customHeight="1"/>
    <ns0:row r="511" ht="15.75" customHeight="1"/>
    <ns0:row r="512" ht="15.75" customHeight="1"/>
    <ns0:row r="513" ht="15.75" customHeight="1"/>
    <ns0:row r="514" ht="15.75" customHeight="1"/>
    <ns0:row r="515" ht="15.75" customHeight="1"/>
    <ns0:row r="516" ht="15.75" customHeight="1"/>
    <ns0:row r="517" ht="15.75" customHeight="1"/>
    <ns0:row r="518" ht="15.75" customHeight="1"/>
    <ns0:row r="519" ht="15.75" customHeight="1"/>
    <ns0:row r="520" ht="15.75" customHeight="1"/>
    <ns0:row r="521" ht="15.75" customHeight="1"/>
    <ns0:row r="522" ht="15.75" customHeight="1"/>
    <ns0:row r="523" ht="15.75" customHeight="1"/>
    <ns0:row r="524" ht="15.75" customHeight="1"/>
    <ns0:row r="525" ht="15.75" customHeight="1"/>
    <ns0:row r="526" ht="15.75" customHeight="1"/>
    <ns0:row r="527" ht="15.75" customHeight="1"/>
    <ns0:row r="528" ht="15.75" customHeight="1"/>
    <ns0:row r="529" ht="15.75" customHeight="1"/>
    <ns0:row r="530" ht="15.75" customHeight="1"/>
    <ns0:row r="531" ht="15.75" customHeight="1"/>
    <ns0:row r="532" ht="15.75" customHeight="1"/>
    <ns0:row r="533" ht="15.75" customHeight="1"/>
    <ns0:row r="534" ht="15.75" customHeight="1"/>
    <ns0:row r="535" ht="15.75" customHeight="1"/>
    <ns0:row r="536" ht="15.75" customHeight="1"/>
    <ns0:row r="537" ht="15.75" customHeight="1"/>
    <ns0:row r="538" ht="15.75" customHeight="1"/>
    <ns0:row r="539" ht="15.75" customHeight="1"/>
    <ns0:row r="540" ht="15.75" customHeight="1"/>
    <ns0:row r="541" ht="15.75" customHeight="1"/>
    <ns0:row r="542" ht="15.75" customHeight="1"/>
    <ns0:row r="543" ht="15.75" customHeight="1"/>
    <ns0:row r="544" ht="15.75" customHeight="1"/>
    <ns0:row r="545" ht="15.75" customHeight="1"/>
    <ns0:row r="546" ht="15.75" customHeight="1"/>
    <ns0:row r="547" ht="15.75" customHeight="1"/>
    <ns0:row r="548" ht="15.75" customHeight="1"/>
    <ns0:row r="549" ht="15.75" customHeight="1"/>
    <ns0:row r="550" ht="15.75" customHeight="1"/>
    <ns0:row r="551" ht="15.75" customHeight="1"/>
    <ns0:row r="552" ht="15.75" customHeight="1"/>
    <ns0:row r="553" ht="15.75" customHeight="1"/>
    <ns0:row r="554" ht="15.75" customHeight="1"/>
    <ns0:row r="555" ht="15.75" customHeight="1"/>
    <ns0:row r="556" ht="15.75" customHeight="1"/>
    <ns0:row r="557" ht="15.75" customHeight="1"/>
    <ns0:row r="558" ht="15.75" customHeight="1"/>
    <ns0:row r="559" ht="15.75" customHeight="1"/>
    <ns0:row r="560" ht="15.75" customHeight="1"/>
    <ns0:row r="561" ht="15.75" customHeight="1"/>
    <ns0:row r="562" ht="15.75" customHeight="1"/>
    <ns0:row r="563" ht="15.75" customHeight="1"/>
    <ns0:row r="564" ht="15.75" customHeight="1"/>
    <ns0:row r="565" ht="15.75" customHeight="1"/>
    <ns0:row r="566" ht="15.75" customHeight="1"/>
    <ns0:row r="567" ht="15.75" customHeight="1"/>
    <ns0:row r="568" ht="15.75" customHeight="1"/>
    <ns0:row r="569" ht="15.75" customHeight="1"/>
    <ns0:row r="570" ht="15.75" customHeight="1"/>
    <ns0:row r="571" ht="15.75" customHeight="1"/>
    <ns0:row r="572" ht="15.75" customHeight="1"/>
    <ns0:row r="573" ht="15.75" customHeight="1"/>
    <ns0:row r="574" ht="15.75" customHeight="1"/>
    <ns0:row r="575" ht="15.75" customHeight="1"/>
    <ns0:row r="576" ht="15.75" customHeight="1"/>
    <ns0:row r="577" ht="15.75" customHeight="1"/>
    <ns0:row r="578" ht="15.75" customHeight="1"/>
    <ns0:row r="579" ht="15.75" customHeight="1"/>
    <ns0:row r="580" ht="15.75" customHeight="1"/>
    <ns0:row r="581" ht="15.75" customHeight="1"/>
    <ns0:row r="582" ht="15.75" customHeight="1"/>
    <ns0:row r="583" ht="15.75" customHeight="1"/>
    <ns0:row r="584" ht="15.75" customHeight="1"/>
    <ns0:row r="585" ht="15.75" customHeight="1"/>
    <ns0:row r="586" ht="15.75" customHeight="1"/>
    <ns0:row r="587" ht="15.75" customHeight="1"/>
    <ns0:row r="588" ht="15.75" customHeight="1"/>
    <ns0:row r="589" ht="15.75" customHeight="1"/>
    <ns0:row r="590" ht="15.75" customHeight="1"/>
    <ns0:row r="591" ht="15.75" customHeight="1"/>
    <ns0:row r="592" ht="15.75" customHeight="1"/>
    <ns0:row r="593" ht="15.75" customHeight="1"/>
    <ns0:row r="594" ht="15.75" customHeight="1"/>
    <ns0:row r="595" ht="15.75" customHeight="1"/>
    <ns0:row r="596" ht="15.75" customHeight="1"/>
    <ns0:row r="597" ht="15.75" customHeight="1"/>
    <ns0:row r="598" ht="15.75" customHeight="1"/>
    <ns0:row r="599" ht="15.75" customHeight="1"/>
    <ns0:row r="600" ht="15.75" customHeight="1"/>
    <ns0:row r="601" ht="15.75" customHeight="1"/>
    <ns0:row r="602" ht="15.75" customHeight="1"/>
    <ns0:row r="603" ht="15.75" customHeight="1"/>
    <ns0:row r="604" ht="15.75" customHeight="1"/>
    <ns0:row r="605" ht="15.75" customHeight="1"/>
    <ns0:row r="606" ht="15.75" customHeight="1"/>
    <ns0:row r="607" ht="15.75" customHeight="1"/>
    <ns0:row r="608" ht="15.75" customHeight="1"/>
    <ns0:row r="609" ht="15.75" customHeight="1"/>
    <ns0:row r="610" ht="15.75" customHeight="1"/>
    <ns0:row r="611" ht="15.75" customHeight="1"/>
    <ns0:row r="612" ht="15.75" customHeight="1"/>
    <ns0:row r="613" ht="15.75" customHeight="1"/>
    <ns0:row r="614" ht="15.75" customHeight="1"/>
    <ns0:row r="615" ht="15.75" customHeight="1"/>
    <ns0:row r="616" ht="15.75" customHeight="1"/>
    <ns0:row r="617" ht="15.75" customHeight="1"/>
    <ns0:row r="618" ht="15.75" customHeight="1"/>
    <ns0:row r="619" ht="15.75" customHeight="1"/>
    <ns0:row r="620" ht="15.75" customHeight="1"/>
    <ns0:row r="621" ht="15.75" customHeight="1"/>
    <ns0:row r="622" ht="15.75" customHeight="1"/>
    <ns0:row r="623" ht="15.75" customHeight="1"/>
    <ns0:row r="624" ht="15.75" customHeight="1"/>
    <ns0:row r="625" ht="15.75" customHeight="1"/>
    <ns0:row r="626" ht="15.75" customHeight="1"/>
    <ns0:row r="627" ht="15.75" customHeight="1"/>
    <ns0:row r="628" ht="15.75" customHeight="1"/>
    <ns0:row r="629" ht="15.75" customHeight="1"/>
    <ns0:row r="630" ht="15.75" customHeight="1"/>
    <ns0:row r="631" ht="15.75" customHeight="1"/>
    <ns0:row r="632" ht="15.75" customHeight="1"/>
    <ns0:row r="633" ht="15.75" customHeight="1"/>
    <ns0:row r="634" ht="15.75" customHeight="1"/>
    <ns0:row r="635" ht="15.75" customHeight="1"/>
    <ns0:row r="636" ht="15.75" customHeight="1"/>
    <ns0:row r="637" ht="15.75" customHeight="1"/>
    <ns0:row r="638" ht="15.75" customHeight="1"/>
    <ns0:row r="639" ht="15.75" customHeight="1"/>
    <ns0:row r="640" ht="15.75" customHeight="1"/>
    <ns0:row r="641" ht="15.75" customHeight="1"/>
    <ns0:row r="642" ht="15.75" customHeight="1"/>
    <ns0:row r="643" ht="15.75" customHeight="1"/>
    <ns0:row r="644" ht="15.75" customHeight="1"/>
    <ns0:row r="645" ht="15.75" customHeight="1"/>
    <ns0:row r="646" ht="15.75" customHeight="1"/>
    <ns0:row r="647" ht="15.75" customHeight="1"/>
    <ns0:row r="648" ht="15.75" customHeight="1"/>
    <ns0:row r="649" ht="15.75" customHeight="1"/>
    <ns0:row r="650" ht="15.75" customHeight="1"/>
    <ns0:row r="651" ht="15.75" customHeight="1"/>
    <ns0:row r="652" ht="15.75" customHeight="1"/>
    <ns0:row r="653" ht="15.75" customHeight="1"/>
    <ns0:row r="654" ht="15.75" customHeight="1"/>
    <ns0:row r="655" ht="15.75" customHeight="1"/>
    <ns0:row r="656" ht="15.75" customHeight="1"/>
    <ns0:row r="657" ht="15.75" customHeight="1"/>
    <ns0:row r="658" ht="15.75" customHeight="1"/>
    <ns0:row r="659" ht="15.75" customHeight="1"/>
    <ns0:row r="660" ht="15.75" customHeight="1"/>
    <ns0:row r="661" ht="15.75" customHeight="1"/>
    <ns0:row r="662" ht="15.75" customHeight="1"/>
    <ns0:row r="663" ht="15.75" customHeight="1"/>
    <ns0:row r="664" ht="15.75" customHeight="1"/>
    <ns0:row r="665" ht="15.75" customHeight="1"/>
    <ns0:row r="666" ht="15.75" customHeight="1"/>
    <ns0:row r="667" ht="15.75" customHeight="1"/>
    <ns0:row r="668" ht="15.75" customHeight="1"/>
    <ns0:row r="669" ht="15.75" customHeight="1"/>
    <ns0:row r="670" ht="15.75" customHeight="1"/>
    <ns0:row r="671" ht="15.75" customHeight="1"/>
    <ns0:row r="672" ht="15.75" customHeight="1"/>
    <ns0:row r="673" ht="15.75" customHeight="1"/>
    <ns0:row r="674" ht="15.75" customHeight="1"/>
    <ns0:row r="675" ht="15.75" customHeight="1"/>
    <ns0:row r="676" ht="15.75" customHeight="1"/>
    <ns0:row r="677" ht="15.75" customHeight="1"/>
    <ns0:row r="678" ht="15.75" customHeight="1"/>
    <ns0:row r="679" ht="15.75" customHeight="1"/>
    <ns0:row r="680" ht="15.75" customHeight="1"/>
    <ns0:row r="681" ht="15.75" customHeight="1"/>
    <ns0:row r="682" ht="15.75" customHeight="1"/>
    <ns0:row r="683" ht="15.75" customHeight="1"/>
    <ns0:row r="684" ht="15.75" customHeight="1"/>
    <ns0:row r="685" ht="15.75" customHeight="1"/>
    <ns0:row r="686" ht="15.75" customHeight="1"/>
    <ns0:row r="687" ht="15.75" customHeight="1"/>
    <ns0:row r="688" ht="15.75" customHeight="1"/>
    <ns0:row r="689" ht="15.75" customHeight="1"/>
    <ns0:row r="690" ht="15.75" customHeight="1"/>
    <ns0:row r="691" ht="15.75" customHeight="1"/>
    <ns0:row r="692" ht="15.75" customHeight="1"/>
    <ns0:row r="693" ht="15.75" customHeight="1"/>
    <ns0:row r="694" ht="15.75" customHeight="1"/>
    <ns0:row r="695" ht="15.75" customHeight="1"/>
    <ns0:row r="696" ht="15.75" customHeight="1"/>
    <ns0:row r="697" ht="15.75" customHeight="1"/>
    <ns0:row r="698" ht="15.75" customHeight="1"/>
    <ns0:row r="699" ht="15.75" customHeight="1"/>
    <ns0:row r="700" ht="15.75" customHeight="1"/>
    <ns0:row r="701" ht="15.75" customHeight="1"/>
    <ns0:row r="702" ht="15.75" customHeight="1"/>
    <ns0:row r="703" ht="15.75" customHeight="1"/>
    <ns0:row r="704" ht="15.75" customHeight="1"/>
    <ns0:row r="705" ht="15.75" customHeight="1"/>
    <ns0:row r="706" ht="15.75" customHeight="1"/>
    <ns0:row r="707" ht="15.75" customHeight="1"/>
    <ns0:row r="708" ht="15.75" customHeight="1"/>
    <ns0:row r="709" ht="15.75" customHeight="1"/>
    <ns0:row r="710" ht="15.75" customHeight="1"/>
    <ns0:row r="711" ht="15.75" customHeight="1"/>
    <ns0:row r="712" ht="15.75" customHeight="1"/>
    <ns0:row r="713" ht="15.75" customHeight="1"/>
    <ns0:row r="714" ht="15.75" customHeight="1"/>
    <ns0:row r="715" ht="15.75" customHeight="1"/>
    <ns0:row r="716" ht="15.75" customHeight="1"/>
    <ns0:row r="717" ht="15.75" customHeight="1"/>
    <ns0:row r="718" ht="15.75" customHeight="1"/>
    <ns0:row r="719" ht="15.75" customHeight="1"/>
    <ns0:row r="720" ht="15.75" customHeight="1"/>
    <ns0:row r="721" ht="15.75" customHeight="1"/>
    <ns0:row r="722" ht="15.75" customHeight="1"/>
    <ns0:row r="723" ht="15.75" customHeight="1"/>
    <ns0:row r="724" ht="15.75" customHeight="1"/>
    <ns0:row r="725" ht="15.75" customHeight="1"/>
    <ns0:row r="726" ht="15.75" customHeight="1"/>
    <ns0:row r="727" ht="15.75" customHeight="1"/>
    <ns0:row r="728" ht="15.75" customHeight="1"/>
    <ns0:row r="729" ht="15.75" customHeight="1"/>
    <ns0:row r="730" ht="15.75" customHeight="1"/>
    <ns0:row r="731" ht="15.75" customHeight="1"/>
    <ns0:row r="732" ht="15.75" customHeight="1"/>
    <ns0:row r="733" ht="15.75" customHeight="1"/>
    <ns0:row r="734" ht="15.75" customHeight="1"/>
    <ns0:row r="735" ht="15.75" customHeight="1"/>
    <ns0:row r="736" ht="15.75" customHeight="1"/>
    <ns0:row r="737" ht="15.75" customHeight="1"/>
    <ns0:row r="738" ht="15.75" customHeight="1"/>
    <ns0:row r="739" ht="15.75" customHeight="1"/>
    <ns0:row r="740" ht="15.75" customHeight="1"/>
    <ns0:row r="741" ht="15.75" customHeight="1"/>
    <ns0:row r="742" ht="15.75" customHeight="1"/>
    <ns0:row r="743" ht="15.75" customHeight="1"/>
    <ns0:row r="744" ht="15.75" customHeight="1"/>
    <ns0:row r="745" ht="15.75" customHeight="1"/>
    <ns0:row r="746" ht="15.75" customHeight="1"/>
    <ns0:row r="747" ht="15.75" customHeight="1"/>
    <ns0:row r="748" ht="15.75" customHeight="1"/>
    <ns0:row r="749" ht="15.75" customHeight="1"/>
    <ns0:row r="750" ht="15.75" customHeight="1"/>
    <ns0:row r="751" ht="15.75" customHeight="1"/>
    <ns0:row r="752" ht="15.75" customHeight="1"/>
    <ns0:row r="753" ht="15.75" customHeight="1"/>
    <ns0:row r="754" ht="15.75" customHeight="1"/>
    <ns0:row r="755" ht="15.75" customHeight="1"/>
    <ns0:row r="756" ht="15.75" customHeight="1"/>
    <ns0:row r="757" ht="15.75" customHeight="1"/>
    <ns0:row r="758" ht="15.75" customHeight="1"/>
    <ns0:row r="759" ht="15.75" customHeight="1"/>
    <ns0:row r="760" ht="15.75" customHeight="1"/>
    <ns0:row r="761" ht="15.75" customHeight="1"/>
    <ns0:row r="762" ht="15.75" customHeight="1"/>
    <ns0:row r="763" ht="15.75" customHeight="1"/>
    <ns0:row r="764" ht="15.75" customHeight="1"/>
    <ns0:row r="765" ht="15.75" customHeight="1"/>
    <ns0:row r="766" ht="15.75" customHeight="1"/>
    <ns0:row r="767" ht="15.75" customHeight="1"/>
    <ns0:row r="768" ht="15.75" customHeight="1"/>
    <ns0:row r="769" ht="15.75" customHeight="1"/>
    <ns0:row r="770" ht="15.75" customHeight="1"/>
    <ns0:row r="771" ht="15.75" customHeight="1"/>
    <ns0:row r="772" ht="15.75" customHeight="1"/>
    <ns0:row r="773" ht="15.75" customHeight="1"/>
    <ns0:row r="774" ht="15.75" customHeight="1"/>
    <ns0:row r="775" ht="15.75" customHeight="1"/>
    <ns0:row r="776" ht="15.75" customHeight="1"/>
    <ns0:row r="777" ht="15.75" customHeight="1"/>
    <ns0:row r="778" ht="15.75" customHeight="1"/>
    <ns0:row r="779" ht="15.75" customHeight="1"/>
    <ns0:row r="780" ht="15.75" customHeight="1"/>
    <ns0:row r="781" ht="15.75" customHeight="1"/>
    <ns0:row r="782" ht="15.75" customHeight="1"/>
    <ns0:row r="783" ht="15.75" customHeight="1"/>
    <ns0:row r="784" ht="15.75" customHeight="1"/>
    <ns0:row r="785" ht="15.75" customHeight="1"/>
    <ns0:row r="786" ht="15.75" customHeight="1"/>
    <ns0:row r="787" ht="15.75" customHeight="1"/>
    <ns0:row r="788" ht="15.75" customHeight="1"/>
    <ns0:row r="789" ht="15.75" customHeight="1"/>
    <ns0:row r="790" ht="15.75" customHeight="1"/>
    <ns0:row r="791" ht="15.75" customHeight="1"/>
    <ns0:row r="792" ht="15.75" customHeight="1"/>
    <ns0:row r="793" ht="15.75" customHeight="1"/>
    <ns0:row r="794" ht="15.75" customHeight="1"/>
    <ns0:row r="795" ht="15.75" customHeight="1"/>
    <ns0:row r="796" ht="15.75" customHeight="1"/>
    <ns0:row r="797" ht="15.75" customHeight="1"/>
    <ns0:row r="798" ht="15.75" customHeight="1"/>
    <ns0:row r="799" ht="15.75" customHeight="1"/>
    <ns0:row r="800" ht="15.75" customHeight="1"/>
    <ns0:row r="801" ht="15.75" customHeight="1"/>
    <ns0:row r="802" ht="15.75" customHeight="1"/>
    <ns0:row r="803" ht="15.75" customHeight="1"/>
    <ns0:row r="804" ht="15.75" customHeight="1"/>
    <ns0:row r="805" ht="15.75" customHeight="1"/>
    <ns0:row r="806" ht="15.75" customHeight="1"/>
    <ns0:row r="807" ht="15.75" customHeight="1"/>
    <ns0:row r="808" ht="15.75" customHeight="1"/>
    <ns0:row r="809" ht="15.75" customHeight="1"/>
    <ns0:row r="810" ht="15.75" customHeight="1"/>
    <ns0:row r="811" ht="15.75" customHeight="1"/>
    <ns0:row r="812" ht="15.75" customHeight="1"/>
    <ns0:row r="813" ht="15.75" customHeight="1"/>
    <ns0:row r="814" ht="15.75" customHeight="1"/>
    <ns0:row r="815" ht="15.75" customHeight="1"/>
    <ns0:row r="816" ht="15.75" customHeight="1"/>
    <ns0:row r="817" ht="15.75" customHeight="1"/>
    <ns0:row r="818" ht="15.75" customHeight="1"/>
    <ns0:row r="819" ht="15.75" customHeight="1"/>
    <ns0:row r="820" ht="15.75" customHeight="1"/>
    <ns0:row r="821" ht="15.75" customHeight="1"/>
    <ns0:row r="822" ht="15.75" customHeight="1"/>
    <ns0:row r="823" ht="15.75" customHeight="1"/>
    <ns0:row r="824" ht="15.75" customHeight="1"/>
    <ns0:row r="825" ht="15.75" customHeight="1"/>
    <ns0:row r="826" ht="15.75" customHeight="1"/>
    <ns0:row r="827" ht="15.75" customHeight="1"/>
    <ns0:row r="828" ht="15.75" customHeight="1"/>
    <ns0:row r="829" ht="15.75" customHeight="1"/>
    <ns0:row r="830" ht="15.75" customHeight="1"/>
    <ns0:row r="831" ht="15.75" customHeight="1"/>
    <ns0:row r="832" ht="15.75" customHeight="1"/>
    <ns0:row r="833" ht="15.75" customHeight="1"/>
    <ns0:row r="834" ht="15.75" customHeight="1"/>
    <ns0:row r="835" ht="15.75" customHeight="1"/>
    <ns0:row r="836" ht="15.75" customHeight="1"/>
    <ns0:row r="837" ht="15.75" customHeight="1"/>
    <ns0:row r="838" ht="15.75" customHeight="1"/>
    <ns0:row r="839" ht="15.75" customHeight="1"/>
    <ns0:row r="840" ht="15.75" customHeight="1"/>
    <ns0:row r="841" ht="15.75" customHeight="1"/>
    <ns0:row r="842" ht="15.75" customHeight="1"/>
    <ns0:row r="843" ht="15.75" customHeight="1"/>
    <ns0:row r="844" ht="15.75" customHeight="1"/>
    <ns0:row r="845" ht="15.75" customHeight="1"/>
    <ns0:row r="846" ht="15.75" customHeight="1"/>
    <ns0:row r="847" ht="15.75" customHeight="1"/>
    <ns0:row r="848" ht="15.75" customHeight="1"/>
    <ns0:row r="849" ht="15.75" customHeight="1"/>
    <ns0:row r="850" ht="15.75" customHeight="1"/>
    <ns0:row r="851" ht="15.75" customHeight="1"/>
    <ns0:row r="852" ht="15.75" customHeight="1"/>
    <ns0:row r="853" ht="15.75" customHeight="1"/>
    <ns0:row r="854" ht="15.75" customHeight="1"/>
    <ns0:row r="855" ht="15.75" customHeight="1"/>
    <ns0:row r="856" ht="15.75" customHeight="1"/>
    <ns0:row r="857" ht="15.75" customHeight="1"/>
    <ns0:row r="858" ht="15.75" customHeight="1"/>
    <ns0:row r="859" ht="15.75" customHeight="1"/>
    <ns0:row r="860" ht="15.75" customHeight="1"/>
    <ns0:row r="861" ht="15.75" customHeight="1"/>
    <ns0:row r="862" ht="15.75" customHeight="1"/>
    <ns0:row r="863" ht="15.75" customHeight="1"/>
    <ns0:row r="864" ht="15.75" customHeight="1"/>
    <ns0:row r="865" ht="15.75" customHeight="1"/>
    <ns0:row r="866" ht="15.75" customHeight="1"/>
    <ns0:row r="867" ht="15.75" customHeight="1"/>
    <ns0:row r="868" ht="15.75" customHeight="1"/>
    <ns0:row r="869" ht="15.75" customHeight="1"/>
    <ns0:row r="870" ht="15.75" customHeight="1"/>
    <ns0:row r="871" ht="15.75" customHeight="1"/>
    <ns0:row r="872" ht="15.75" customHeight="1"/>
    <ns0:row r="873" ht="15.75" customHeight="1"/>
    <ns0:row r="874" ht="15.75" customHeight="1"/>
    <ns0:row r="875" ht="15.75" customHeight="1"/>
    <ns0:row r="876" ht="15.75" customHeight="1"/>
    <ns0:row r="877" ht="15.75" customHeight="1"/>
    <ns0:row r="878" ht="15.75" customHeight="1"/>
    <ns0:row r="879" ht="15.75" customHeight="1"/>
    <ns0:row r="880" ht="15.75" customHeight="1"/>
    <ns0:row r="881" ht="15.75" customHeight="1"/>
    <ns0:row r="882" ht="15.75" customHeight="1"/>
    <ns0:row r="883" ht="15.75" customHeight="1"/>
    <ns0:row r="884" ht="15.75" customHeight="1"/>
    <ns0:row r="885" ht="15.75" customHeight="1"/>
    <ns0:row r="886" ht="15.75" customHeight="1"/>
    <ns0:row r="887" ht="15.75" customHeight="1"/>
    <ns0:row r="888" ht="15.75" customHeight="1"/>
    <ns0:row r="889" ht="15.75" customHeight="1"/>
    <ns0:row r="890" ht="15.75" customHeight="1"/>
    <ns0:row r="891" ht="15.75" customHeight="1"/>
    <ns0:row r="892" ht="15.75" customHeight="1"/>
    <ns0:row r="893" ht="15.75" customHeight="1"/>
    <ns0:row r="894" ht="15.75" customHeight="1"/>
    <ns0:row r="895" ht="15.75" customHeight="1"/>
    <ns0:row r="896" ht="15.75" customHeight="1"/>
    <ns0:row r="897" ht="15.75" customHeight="1"/>
    <ns0:row r="898" ht="15.75" customHeight="1"/>
    <ns0:row r="899" ht="15.75" customHeight="1"/>
    <ns0:row r="900" ht="15.75" customHeight="1"/>
    <ns0:row r="901" ht="15.75" customHeight="1"/>
    <ns0:row r="902" ht="15.75" customHeight="1"/>
    <ns0:row r="903" ht="15.75" customHeight="1"/>
    <ns0:row r="904" ht="15.75" customHeight="1"/>
    <ns0:row r="905" ht="15.75" customHeight="1"/>
    <ns0:row r="906" ht="15.75" customHeight="1"/>
    <ns0:row r="907" ht="15.75" customHeight="1"/>
    <ns0:row r="908" ht="15.75" customHeight="1"/>
    <ns0:row r="909" ht="15.75" customHeight="1"/>
    <ns0:row r="910" ht="15.75" customHeight="1"/>
    <ns0:row r="911" ht="15.75" customHeight="1"/>
    <ns0:row r="912" ht="15.75" customHeight="1"/>
    <ns0:row r="913" ht="15.75" customHeight="1"/>
    <ns0:row r="914" ht="15.75" customHeight="1"/>
    <ns0:row r="915" ht="15.75" customHeight="1"/>
    <ns0:row r="916" ht="15.75" customHeight="1"/>
    <ns0:row r="917" ht="15.75" customHeight="1"/>
    <ns0:row r="918" ht="15.75" customHeight="1"/>
    <ns0:row r="919" ht="15.75" customHeight="1"/>
    <ns0:row r="920" ht="15.75" customHeight="1"/>
    <ns0:row r="921" ht="15.75" customHeight="1"/>
    <ns0:row r="922" ht="15.75" customHeight="1"/>
    <ns0:row r="923" ht="15.75" customHeight="1"/>
    <ns0:row r="924" ht="15.75" customHeight="1"/>
    <ns0:row r="925" ht="15.75" customHeight="1"/>
    <ns0:row r="926" ht="15.75" customHeight="1"/>
    <ns0:row r="927" ht="15.75" customHeight="1"/>
    <ns0:row r="928" ht="15.75" customHeight="1"/>
    <ns0:row r="929" ht="15.75" customHeight="1"/>
    <ns0:row r="930" ht="15.75" customHeight="1"/>
    <ns0:row r="931" ht="15.75" customHeight="1"/>
    <ns0:row r="932" ht="15.75" customHeight="1"/>
    <ns0:row r="933" ht="15.75" customHeight="1"/>
    <ns0:row r="934" ht="15.75" customHeight="1"/>
    <ns0:row r="935" ht="15.75" customHeight="1"/>
    <ns0:row r="936" ht="15.75" customHeight="1"/>
    <ns0:row r="937" ht="15.75" customHeight="1"/>
    <ns0:row r="938" ht="15.75" customHeight="1"/>
    <ns0:row r="939" ht="15.75" customHeight="1"/>
    <ns0:row r="940" ht="15.75" customHeight="1"/>
    <ns0:row r="941" ht="15.75" customHeight="1"/>
    <ns0:row r="942" ht="15.75" customHeight="1"/>
    <ns0:row r="943" ht="15.75" customHeight="1"/>
    <ns0:row r="944" ht="15.75" customHeight="1"/>
    <ns0:row r="945" ht="15.75" customHeight="1"/>
    <ns0:row r="946" ht="15.75" customHeight="1"/>
    <ns0:row r="947" ht="15.75" customHeight="1"/>
    <ns0:row r="948" ht="15.75" customHeight="1"/>
    <ns0:row r="949" ht="15.75" customHeight="1"/>
    <ns0:row r="950" ht="15.75" customHeight="1"/>
    <ns0:row r="951" ht="15.75" customHeight="1"/>
    <ns0:row r="952" ht="15.75" customHeight="1"/>
    <ns0:row r="953" ht="15.75" customHeight="1"/>
    <ns0:row r="954" ht="15.75" customHeight="1"/>
    <ns0:row r="955" ht="15.75" customHeight="1"/>
    <ns0:row r="956" ht="15.75" customHeight="1"/>
    <ns0:row r="957" ht="15.75" customHeight="1"/>
    <ns0:row r="958" ht="15.75" customHeight="1"/>
    <ns0:row r="959" ht="15.75" customHeight="1"/>
    <ns0:row r="960" ht="15.75" customHeight="1"/>
    <ns0:row r="961" ht="15.75" customHeight="1"/>
    <ns0:row r="962" ht="15.75" customHeight="1"/>
    <ns0:row r="963" ht="15.75" customHeight="1"/>
    <ns0:row r="964" ht="15.75" customHeight="1"/>
    <ns0:row r="965" ht="15.75" customHeight="1"/>
    <ns0:row r="966" ht="15.75" customHeight="1"/>
    <ns0:row r="967" ht="15.75" customHeight="1"/>
    <ns0:row r="968" ht="15.75" customHeight="1"/>
    <ns0:row r="969" ht="15.75" customHeight="1"/>
    <ns0:row r="970" ht="15.75" customHeight="1"/>
    <ns0:row r="971" ht="15.75" customHeight="1"/>
    <ns0:row r="972" ht="15.75" customHeight="1"/>
    <ns0:row r="973" ht="15.75" customHeight="1"/>
    <ns0:row r="974" ht="15.75" customHeight="1"/>
    <ns0:row r="975" ht="15.75" customHeight="1"/>
    <ns0:row r="976" ht="15.75" customHeight="1"/>
    <ns0:row r="977" ht="15.75" customHeight="1"/>
    <ns0:row r="978" ht="15.75" customHeight="1"/>
    <ns0:row r="979" ht="15.75" customHeight="1"/>
    <ns0:row r="980" ht="15.75" customHeight="1"/>
    <ns0:row r="981" ht="15.75" customHeight="1"/>
    <ns0:row r="982" ht="15.75" customHeight="1"/>
    <ns0:row r="983" ht="15.75" customHeight="1"/>
    <ns0:row r="984" ht="15.75" customHeight="1"/>
    <ns0:row r="985" ht="15.75" customHeight="1"/>
    <ns0:row r="986" ht="15.75" customHeight="1"/>
    <ns0:row r="987" ht="15.75" customHeight="1"/>
    <ns0:row r="988" ht="15.75" customHeight="1"/>
    <ns0:row r="989" ht="15.75" customHeight="1"/>
    <ns0:row r="990" ht="15.75" customHeight="1"/>
    <ns0:row r="991" ht="15.75" customHeight="1"/>
    <ns0:row r="992" ht="15.75" customHeight="1"/>
    <ns0:row r="993" ht="15.75" customHeight="1"/>
    <ns0:row r="994" ht="15.75" customHeight="1"/>
    <ns0:row r="995" ht="15.75" customHeight="1"/>
    <ns0:row r="996" ht="15.75" customHeight="1"/>
    <ns0:row r="997" ht="15.75" customHeight="1"/>
    <ns0:row r="998" ht="15.75" customHeight="1"/>
    <ns0:row r="999" ht="15.75" customHeight="1"/>
    <ns0:row r="1000" ht="15.75" customHeight="1"/>
  </ns0:sheetData>
  <ns0:mergeCells count="6">
    <ns0:mergeCell ref="A1:G1"/>
    <ns0:mergeCell ref="A2:G2"/>
    <ns0:mergeCell ref="A4:B4"/>
    <ns0:mergeCell ref="C4:D4"/>
    <ns0:mergeCell ref="E4:F4"/>
    <ns0:mergeCell ref="A9:B9"/>
  </ns0:mergeCells>
  <ns0:printOptions/>
  <ns0:pageMargins bottom="0.5" footer="0.0" header="0.0" left="0.4" right="0.4" top="0.5"/>
  <ns0:pageSetup fitToHeight="0" orientation="landscape"/>
  <ns0:drawing ns1:id="rId1"/>
</ns0: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ns0:worksheet xmlns:ns0="http://schemas.openxmlformats.org/spreadsheetml/2006/main" xmlns:ns1="http://schemas.openxmlformats.org/officeDocument/2006/relationships">
  <ns0:sheetPr>
    <ns0:pageSetUpPr fitToPage="1"/>
  </ns0:sheetPr>
  <ns0:sheetViews>
    <ns0:sheetView showGridLines="0" workbookViewId="0">
      <ns0:pane ySplit="1.0" topLeftCell="A2" activePane="bottomLeft" state="frozen"/>
      <ns0:selection activeCell="B3" sqref="B3" pane="bottomLeft"/>
    </ns0:sheetView>
  </ns0:sheetViews>
  <ns0:sheetFormatPr customHeight="1" defaultColWidth="14.43" defaultRowHeight="15.0"/>
  <ns0:cols>
    <ns0:col customWidth="1" min="1" max="1" width="22.0"/>
    <ns0:col customWidth="1" min="2" max="2" width="40.0"/>
    <ns0:col customWidth="1" min="3" max="3" width="48.0"/>
    <ns0:col customWidth="1" min="4" max="4" width="46.0"/>
    <ns0:col customWidth="1" min="5" max="5" width="10.0"/>
    <ns0:col customWidth="1" min="6" max="6" width="14.0"/>
    <ns0:col customWidth="1" min="7" max="7" width="22.0"/>
    <ns0:col customWidth="1" min="8" max="26" width="8.71"/>
  </ns0:cols>
  <ns0:sheetData>
    <ns0:row r="1">
      <ns0:c r="A1" s="3" t="s">
        <ns0:v>0</ns0:v>
      </ns0:c>
      <ns0:c r="B1" s="3" t="s">
        <ns0:v>2</ns0:v>
      </ns0:c>
      <ns0:c r="C1" s="3" t="s">
        <ns0:v>3</ns0:v>
      </ns0:c>
      <ns0:c r="D1" s="3" t="s">
        <ns0:v>4</ns0:v>
      </ns0:c>
      <ns0:c r="E1" s="3" t="s">
        <ns0:v>5</ns0:v>
      </ns0:c>
      <ns0:c r="F1" s="3" t="s">
        <ns0:v>6</ns0:v>
      </ns0:c>
      <ns0:c r="G1" s="3" t="s">
        <ns0:v>7</ns0:v>
      </ns0:c>
    </ns0:row>
    <ns0:row r="2" ht="60.0" customHeight="1">
      <ns0:c r="A2" s="5" t="s">
        <ns0:v>13</ns0:v>
      </ns0:c>
      <ns0:c r="B2" s="5" t="s">
        <ns0:v>17</ns0:v>
      </ns0:c>
      <ns0:c r="C2" s="5" t="s">
        <ns0:v>19</ns0:v>
      </ns0:c>
      <ns0:c r="D2" s="5" t="s">
        <ns0:v>21</ns0:v>
      </ns0:c>
      <ns0:c r="E2" s="10" t="s">
        <ns0:v>23</ns0:v>
      </ns0:c>
      <ns0:c r="F2" s="12" t="s">
        <ns0:v>27</ns0:v>
      </ns0:c>
      <ns0:c r="G2" s="13" t="s">
        <ns0:v>206</ns0:v>
      </ns0:c>
    </ns0:row>
    <ns0:row r="3" ht="60.0" customHeight="1">
      <ns0:c r="A3" s="5" t="s">
        <ns0:v>13</ns0:v>
      </ns0:c>
      <ns0:c r="B3" s="5" t="s">
        <ns0:v>29</ns0:v>
      </ns0:c>
      <ns0:c r="C3" s="5" t="s">
        <ns0:v>31</ns0:v>
      </ns0:c>
      <ns0:c r="D3" s="5" t="s">
        <ns0:v>32</ns0:v>
      </ns0:c>
      <ns0:c r="E3" s="7" t="s">
        <ns0:v>22</ns0:v>
      </ns0:c>
      <ns0:c r="F3" s="12" t="s">
        <ns0:v>27</ns0:v>
      </ns0:c>
      <ns0:c r="G3" s="13" t="s">
        <ns0:v>207</ns0:v>
      </ns0:c>
    </ns0:row>
    <ns0:row r="4" ht="60.0" customHeight="1">
      <ns0:c r="A4" s="5" t="s">
        <ns0:v>34</ns0:v>
      </ns0:c>
      <ns0:c r="B4" s="5" t="s">
        <ns0:v>35</ns0:v>
      </ns0:c>
      <ns0:c r="C4" s="5" t="s">
        <ns0:v>37</ns0:v>
      </ns0:c>
      <ns0:c r="D4" s="5" t="s">
        <ns0:v>39</ns0:v>
      </ns0:c>
      <ns0:c r="E4" s="10" t="s">
        <ns0:v>23</ns0:v>
      </ns0:c>
      <ns0:c r="F4" s="12" t="s">
        <ns0:v>27</ns0:v>
      </ns0:c>
      <ns0:c r="G4" s="13" t="s">
        <ns0:v>208</ns0:v>
      </ns0:c>
    </ns0:row>
    <ns0:row r="5" ht="60.0" customHeight="1">
      <ns0:c r="A5" s="5" t="s">
        <ns0:v>34</ns0:v>
      </ns0:c>
      <ns0:c r="B5" s="5" t="s">
        <ns0:v>42</ns0:v>
      </ns0:c>
      <ns0:c r="C5" s="5" t="s">
        <ns0:v>45</ns0:v>
      </ns0:c>
      <ns0:c r="D5" s="5" t="s">
        <ns0:v>48</ns0:v>
      </ns0:c>
      <ns0:c r="E5" s="10" t="s">
        <ns0:v>23</ns0:v>
      </ns0:c>
      <ns0:c r="F5" s="12" t="s">
        <ns0:v>27</ns0:v>
      </ns0:c>
      <ns0:c r="G5" s="13" t="s">
        <ns0:v>209</ns0:v>
      </ns0:c>
    </ns0:row>
    <ns0:row r="6" ht="60.0" customHeight="1">
      <ns0:c r="A6" s="5" t="s">
        <ns0:v>34</ns0:v>
      </ns0:c>
      <ns0:c r="B6" s="5" t="s">
        <ns0:v>53</ns0:v>
      </ns0:c>
      <ns0:c r="C6" s="5" t="s">
        <ns0:v>55</ns0:v>
      </ns0:c>
      <ns0:c r="D6" s="5" t="s">
        <ns0:v>56</ns0:v>
      </ns0:c>
      <ns0:c r="E6" s="10" t="s">
        <ns0:v>23</ns0:v>
      </ns0:c>
      <ns0:c r="F6" s="12" t="s">
        <ns0:v>27</ns0:v>
      </ns0:c>
      <ns0:c r="G6" s="13" t="s">
        <ns0:v>210</ns0:v>
      </ns0:c>
    </ns0:row>
    <ns0:row r="7" ht="60.0" customHeight="1">
      <ns0:c r="A7" s="5" t="s">
        <ns0:v>63</ns0:v>
      </ns0:c>
      <ns0:c r="B7" s="5" t="s">
        <ns0:v>64</ns0:v>
      </ns0:c>
      <ns0:c r="C7" s="5" t="s">
        <ns0:v>65</ns0:v>
      </ns0:c>
      <ns0:c r="D7" s="5" t="s">
        <ns0:v>66</ns0:v>
      </ns0:c>
      <ns0:c r="E7" s="10" t="s">
        <ns0:v>23</ns0:v>
      </ns0:c>
      <ns0:c r="F7" s="11" t="s">
        <ns0:v>27</ns0:v>
      </ns0:c>
      <ns0:c r="G7" s="13" t="s">
        <ns0:v>211</ns0:v>
      </ns0:c>
    </ns0:row>
    <ns0:row r="8" ht="60.0" customHeight="1">
      <ns0:c r="A8" s="5" t="s">
        <ns0:v>63</ns0:v>
      </ns0:c>
      <ns0:c r="B8" s="5" t="s">
        <ns0:v>67</ns0:v>
      </ns0:c>
      <ns0:c r="C8" s="5" t="s">
        <ns0:v>68</ns0:v>
      </ns0:c>
      <ns0:c r="D8" s="5" t="s">
        <ns0:v>69</ns0:v>
      </ns0:c>
      <ns0:c r="E8" s="10" t="s">
        <ns0:v>23</ns0:v>
      </ns0:c>
      <ns0:c r="F8" s="11" t="s">
        <ns0:v>27</ns0:v>
      </ns0:c>
      <ns0:c r="G8" s="13" t="s">
        <ns0:v>212</ns0:v>
      </ns0:c>
    </ns0:row>
    <ns0:row r="9" ht="60.0" customHeight="1">
      <ns0:c r="A9" s="5" t="s">
        <ns0:v>63</ns0:v>
      </ns0:c>
      <ns0:c r="B9" s="5" t="s">
        <ns0:v>73</ns0:v>
      </ns0:c>
      <ns0:c r="C9" s="5" t="s">
        <ns0:v>74</ns0:v>
      </ns0:c>
      <ns0:c r="D9" s="5" t="s">
        <ns0:v>75</ns0:v>
      </ns0:c>
      <ns0:c r="E9" s="10" t="s">
        <ns0:v>23</ns0:v>
      </ns0:c>
      <ns0:c r="F9" s="12" t="s">
        <ns0:v>27</ns0:v>
      </ns0:c>
      <ns0:c r="G9" s="13" t="s">
        <ns0:v>213</ns0:v>
      </ns0:c>
    </ns0:row>
    <ns0:row r="10" ht="60.0" customHeight="1">
      <ns0:c r="A10" s="5" t="s">
        <ns0:v>63</ns0:v>
      </ns0:c>
      <ns0:c r="B10" s="5" t="s">
        <ns0:v>78</ns0:v>
      </ns0:c>
      <ns0:c r="C10" s="5" t="s">
        <ns0:v>80</ns0:v>
      </ns0:c>
      <ns0:c r="D10" s="5" t="s">
        <ns0:v>81</ns0:v>
      </ns0:c>
      <ns0:c r="E10" s="10" t="s">
        <ns0:v>23</ns0:v>
      </ns0:c>
      <ns0:c r="F10" s="12" t="s">
        <ns0:v>27</ns0:v>
      </ns0:c>
      <ns0:c r="G10" s="13" t="s">
        <ns0:v>214</ns0:v>
      </ns0:c>
    </ns0:row>
    <ns0:row r="11" ht="60.0" customHeight="1">
      <ns0:c r="A11" s="5" t="s">
        <ns0:v>63</ns0:v>
      </ns0:c>
      <ns0:c r="B11" s="5" t="s">
        <ns0:v>83</ns0:v>
      </ns0:c>
      <ns0:c r="C11" s="5" t="s">
        <ns0:v>84</ns0:v>
      </ns0:c>
      <ns0:c r="D11" s="5" t="s">
        <ns0:v>85</ns0:v>
      </ns0:c>
      <ns0:c r="E11" s="10" t="s">
        <ns0:v>23</ns0:v>
      </ns0:c>
      <ns0:c r="F11" s="12" t="s">
        <ns0:v>27</ns0:v>
      </ns0:c>
      <ns0:c r="G11" s="13" t="s">
        <ns0:v>215</ns0:v>
      </ns0:c>
    </ns0:row>
    <ns0:row r="12" ht="60.0" customHeight="1">
      <ns0:c r="A12" s="5" t="s">
        <ns0:v>63</ns0:v>
      </ns0:c>
      <ns0:c r="B12" s="5" t="s">
        <ns0:v>87</ns0:v>
      </ns0:c>
      <ns0:c r="C12" s="5" t="s">
        <ns0:v>89</ns0:v>
      </ns0:c>
      <ns0:c r="D12" s="5" t="s">
        <ns0:v>90</ns0:v>
      </ns0:c>
      <ns0:c r="E12" s="10" t="s">
        <ns0:v>23</ns0:v>
      </ns0:c>
      <ns0:c r="F12" s="12" t="s">
        <ns0:v>27</ns0:v>
      </ns0:c>
      <ns0:c r="G12" s="13" t="s">
        <ns0:v>216</ns0:v>
      </ns0:c>
    </ns0:row>
    <ns0:row r="13" ht="60.0" customHeight="1">
      <ns0:c r="A13" s="5" t="s">
        <ns0:v>63</ns0:v>
      </ns0:c>
      <ns0:c r="B13" s="5" t="s">
        <ns0:v>92</ns0:v>
      </ns0:c>
      <ns0:c r="C13" s="5" t="s">
        <ns0:v>93</ns0:v>
      </ns0:c>
      <ns0:c r="D13" s="5" t="s">
        <ns0:v>94</ns0:v>
      </ns0:c>
      <ns0:c r="E13" s="10" t="s">
        <ns0:v>23</ns0:v>
      </ns0:c>
      <ns0:c r="F13" s="11" t="s">
        <ns0:v>27</ns0:v>
      </ns0:c>
      <ns0:c r="G13" s="13" t="s">
        <ns0:v>217</ns0:v>
      </ns0:c>
    </ns0:row>
    <ns0:row r="14" ht="60.0" customHeight="1">
      <ns0:c r="A14" s="5" t="s">
        <ns0:v>63</ns0:v>
      </ns0:c>
      <ns0:c r="B14" s="5" t="s">
        <ns0:v>97</ns0:v>
      </ns0:c>
      <ns0:c r="C14" s="5" t="s">
        <ns0:v>99</ns0:v>
      </ns0:c>
      <ns0:c r="D14" s="5" t="s">
        <ns0:v>100</ns0:v>
      </ns0:c>
      <ns0:c r="E14" s="10" t="s">
        <ns0:v>23</ns0:v>
      </ns0:c>
      <ns0:c r="F14" s="11" t="s">
        <ns0:v>27</ns0:v>
      </ns0:c>
      <ns0:c r="G14" s="13" t="s">
        <ns0:v>218</ns0:v>
      </ns0:c>
    </ns0:row>
    <ns0:row r="15" ht="60.0" customHeight="1">
      <ns0:c r="A15" s="5" t="s">
        <ns0:v>101</ns0:v>
      </ns0:c>
      <ns0:c r="B15" s="5" t="s">
        <ns0:v>103</ns0:v>
      </ns0:c>
      <ns0:c r="C15" s="5" t="s">
        <ns0:v>104</ns0:v>
      </ns0:c>
      <ns0:c r="D15" s="5" t="s">
        <ns0:v>106</ns0:v>
      </ns0:c>
      <ns0:c r="E15" s="10" t="s">
        <ns0:v>23</ns0:v>
      </ns0:c>
      <ns0:c r="F15" s="11" t="s">
        <ns0:v>27</ns0:v>
      </ns0:c>
      <ns0:c r="G15" s="13" t="s">
        <ns0:v>219</ns0:v>
      </ns0:c>
    </ns0:row>
    <ns0:row r="16" ht="60.0" customHeight="1">
      <ns0:c r="A16" s="5" t="s">
        <ns0:v>101</ns0:v>
      </ns0:c>
      <ns0:c r="B16" s="5" t="s">
        <ns0:v>108</ns0:v>
      </ns0:c>
      <ns0:c r="C16" s="5" t="s">
        <ns0:v>109</ns0:v>
      </ns0:c>
      <ns0:c r="D16" s="5" t="s">
        <ns0:v>110</ns0:v>
      </ns0:c>
      <ns0:c r="E16" s="10" t="s">
        <ns0:v>23</ns0:v>
      </ns0:c>
      <ns0:c r="F16" s="11" t="s">
        <ns0:v>27</ns0:v>
      </ns0:c>
      <ns0:c r="G16" s="13" t="s">
        <ns0:v>220</ns0:v>
      </ns0:c>
    </ns0:row>
    <ns0:row r="17" ht="60.0" customHeight="1">
      <ns0:c r="A17" s="5" t="s">
        <ns0:v>101</ns0:v>
      </ns0:c>
      <ns0:c r="B17" s="5" t="s">
        <ns0:v>114</ns0:v>
      </ns0:c>
      <ns0:c r="C17" s="5" t="s">
        <ns0:v>116</ns0:v>
      </ns0:c>
      <ns0:c r="D17" s="5" t="s">
        <ns0:v>117</ns0:v>
      </ns0:c>
      <ns0:c r="E17" s="10" t="s">
        <ns0:v>23</ns0:v>
      </ns0:c>
      <ns0:c r="F17" s="12" t="s">
        <ns0:v>27</ns0:v>
      </ns0:c>
      <ns0:c r="G17" s="13" t="s">
        <ns0:v>221</ns0:v>
      </ns0:c>
    </ns0:row>
    <ns0:row r="18" ht="60.0" customHeight="1">
      <ns0:c r="A18" s="5" t="s">
        <ns0:v>101</ns0:v>
      </ns0:c>
      <ns0:c r="B18" s="5" t="s">
        <ns0:v>118</ns0:v>
      </ns0:c>
      <ns0:c r="C18" s="5" t="s">
        <ns0:v>120</ns0:v>
      </ns0:c>
      <ns0:c r="D18" s="5" t="s">
        <ns0:v>122</ns0:v>
      </ns0:c>
      <ns0:c r="E18" s="10" t="s">
        <ns0:v>23</ns0:v>
      </ns0:c>
      <ns0:c r="F18" s="12" t="s">
        <ns0:v>27</ns0:v>
      </ns0:c>
      <ns0:c r="G18" s="13" t="s">
        <ns0:v>222</ns0:v>
      </ns0:c>
    </ns0:row>
    <ns0:row r="19" ht="60.0" customHeight="1">
      <ns0:c r="A19" s="5" t="s">
        <ns0:v>124</ns0:v>
      </ns0:c>
      <ns0:c r="B19" s="5" t="s">
        <ns0:v>125</ns0:v>
      </ns0:c>
      <ns0:c r="C19" s="5" t="s">
        <ns0:v>126</ns0:v>
      </ns0:c>
      <ns0:c r="D19" s="5" t="s">
        <ns0:v>127</ns0:v>
      </ns0:c>
      <ns0:c r="E19" s="10" t="s">
        <ns0:v>23</ns0:v>
      </ns0:c>
      <ns0:c r="F19" s="11" t="s">
        <ns0:v>27</ns0:v>
      </ns0:c>
      <ns0:c r="G19" s="13" t="s">
        <ns0:v>223</ns0:v>
      </ns0:c>
    </ns0:row>
    <ns0:row r="20" ht="60.0" customHeight="1">
      <ns0:c r="A20" s="5" t="s">
        <ns0:v>124</ns0:v>
      </ns0:c>
      <ns0:c r="B20" s="5" t="s">
        <ns0:v>131</ns0:v>
      </ns0:c>
      <ns0:c r="C20" s="5" t="s">
        <ns0:v>132</ns0:v>
      </ns0:c>
      <ns0:c r="D20" s="5" t="s">
        <ns0:v>133</ns0:v>
      </ns0:c>
      <ns0:c r="E20" s="10" t="s">
        <ns0:v>23</ns0:v>
      </ns0:c>
      <ns0:c r="F20" s="11" t="s">
        <ns0:v>26</ns0:v>
      </ns0:c>
      <ns0:c r="G20" s="13"/>
    </ns0:row>
    <ns0:row r="21" ht="60.0" customHeight="1">
      <ns0:c r="A21" s="5" t="s">
        <ns0:v>124</ns0:v>
      </ns0:c>
      <ns0:c r="B21" s="5" t="s">
        <ns0:v>137</ns0:v>
      </ns0:c>
      <ns0:c r="C21" s="5" t="s">
        <ns0:v>139</ns0:v>
      </ns0:c>
      <ns0:c r="D21" s="5" t="s">
        <ns0:v>140</ns0:v>
      </ns0:c>
      <ns0:c r="E21" s="10" t="s">
        <ns0:v>23</ns0:v>
      </ns0:c>
      <ns0:c r="F21" s="11" t="s">
        <ns0:v>26</ns0:v>
      </ns0:c>
      <ns0:c r="G21" s="13"/>
    </ns0:row>
    <ns0:row r="22" ht="60.0" customHeight="1">
      <ns0:c r="A22" s="5" t="s">
        <ns0:v>124</ns0:v>
      </ns0:c>
      <ns0:c r="B22" s="5" t="s">
        <ns0:v>142</ns0:v>
      </ns0:c>
      <ns0:c r="C22" s="5" t="s">
        <ns0:v>144</ns0:v>
      </ns0:c>
      <ns0:c r="D22" s="5" t="s">
        <ns0:v>146</ns0:v>
      </ns0:c>
      <ns0:c r="E22" s="10" t="s">
        <ns0:v>23</ns0:v>
      </ns0:c>
      <ns0:c r="F22" s="11" t="s">
        <ns0:v>26</ns0:v>
      </ns0:c>
      <ns0:c r="G22" s="13"/>
    </ns0:row>
    <ns0:row r="23" ht="60.0" customHeight="1">
      <ns0:c r="A23" s="5" t="s">
        <ns0:v>147</ns0:v>
      </ns0:c>
      <ns0:c r="B23" s="5" t="s">
        <ns0:v>148</ns0:v>
      </ns0:c>
      <ns0:c r="C23" s="5" t="s">
        <ns0:v>149</ns0:v>
      </ns0:c>
      <ns0:c r="D23" s="5" t="s">
        <ns0:v>150</ns0:v>
      </ns0:c>
      <ns0:c r="E23" s="10" t="s">
        <ns0:v>23</ns0:v>
      </ns0:c>
      <ns0:c r="F23" s="11" t="s">
        <ns0:v>26</ns0:v>
      </ns0:c>
      <ns0:c r="G23" s="13"/>
    </ns0:row>
    <ns0:row r="24" ht="60.0" customHeight="1">
      <ns0:c r="A24" s="5" t="s">
        <ns0:v>147</ns0:v>
      </ns0:c>
      <ns0:c r="B24" s="5" t="s">
        <ns0:v>152</ns0:v>
      </ns0:c>
      <ns0:c r="C24" s="5" t="s">
        <ns0:v>154</ns0:v>
      </ns0:c>
      <ns0:c r="D24" s="5" t="s">
        <ns0:v>156</ns0:v>
      </ns0:c>
      <ns0:c r="E24" s="10" t="s">
        <ns0:v>23</ns0:v>
      </ns0:c>
      <ns0:c r="F24" s="11" t="s">
        <ns0:v>26</ns0:v>
      </ns0:c>
      <ns0:c r="G24" s="13"/>
    </ns0:row>
    <ns0:row r="25" ht="60.0" customHeight="1">
      <ns0:c r="A25" s="5" t="s">
        <ns0:v>147</ns0:v>
      </ns0:c>
      <ns0:c r="B25" s="5" t="s">
        <ns0:v>157</ns0:v>
      </ns0:c>
      <ns0:c r="C25" s="5" t="s">
        <ns0:v>158</ns0:v>
      </ns0:c>
      <ns0:c r="D25" s="5" t="s">
        <ns0:v>160</ns0:v>
      </ns0:c>
      <ns0:c r="E25" s="10" t="s">
        <ns0:v>23</ns0:v>
      </ns0:c>
      <ns0:c r="F25" s="11" t="s">
        <ns0:v>26</ns0:v>
      </ns0:c>
      <ns0:c r="G25" s="13"/>
    </ns0:row>
    <ns0:row r="26" ht="60.0" customHeight="1">
      <ns0:c r="A26" s="5" t="s">
        <ns0:v>147</ns0:v>
      </ns0:c>
      <ns0:c r="B26" s="5" t="s">
        <ns0:v>163</ns0:v>
      </ns0:c>
      <ns0:c r="C26" s="5" t="s">
        <ns0:v>164</ns0:v>
      </ns0:c>
      <ns0:c r="D26" s="5" t="s">
        <ns0:v>165</ns0:v>
      </ns0:c>
      <ns0:c r="E26" s="10" t="s">
        <ns0:v>23</ns0:v>
      </ns0:c>
      <ns0:c r="F26" s="11" t="s">
        <ns0:v>26</ns0:v>
      </ns0:c>
      <ns0:c r="G26" s="13"/>
    </ns0:row>
    <ns0:row r="27" ht="60.0" customHeight="1">
      <ns0:c r="A27" s="5" t="s">
        <ns0:v>147</ns0:v>
      </ns0:c>
      <ns0:c r="B27" s="5" t="s">
        <ns0:v>171</ns0:v>
      </ns0:c>
      <ns0:c r="C27" s="5" t="s">
        <ns0:v>172</ns0:v>
      </ns0:c>
      <ns0:c r="D27" s="5" t="s">
        <ns0:v>173</ns0:v>
      </ns0:c>
      <ns0:c r="E27" s="7" t="s">
        <ns0:v>22</ns0:v>
      </ns0:c>
      <ns0:c r="F27" s="11" t="s">
        <ns0:v>26</ns0:v>
      </ns0:c>
      <ns0:c r="G27" s="13"/>
    </ns0:row>
    <ns0:row r="28" ht="15.75" customHeight="1"/>
    <ns0:row r="29" ht="15.75" customHeight="1"/>
    <ns0:row r="30" ht="15.75" customHeight="1"/>
    <ns0:row r="31" ht="15.75" customHeight="1"/>
    <ns0:row r="32" ht="15.75" customHeight="1"/>
    <ns0:row r="33" ht="15.75" customHeight="1"/>
    <ns0:row r="34" ht="15.75" customHeight="1"/>
    <ns0:row r="35" ht="15.75" customHeight="1"/>
    <ns0:row r="36" ht="15.75" customHeight="1"/>
    <ns0:row r="37" ht="15.75" customHeight="1"/>
    <ns0:row r="38" ht="15.75" customHeight="1"/>
    <ns0:row r="39" ht="15.75" customHeight="1"/>
    <ns0:row r="40" ht="15.75" customHeight="1"/>
    <ns0:row r="41" ht="15.75" customHeight="1"/>
    <ns0:row r="42" ht="15.75" customHeight="1"/>
    <ns0:row r="43" ht="15.75" customHeight="1"/>
    <ns0:row r="44" ht="15.75" customHeight="1"/>
    <ns0:row r="45" ht="15.75" customHeight="1"/>
    <ns0:row r="46" ht="15.75" customHeight="1"/>
    <ns0:row r="47" ht="15.75" customHeight="1"/>
    <ns0:row r="48" ht="15.75" customHeight="1"/>
    <ns0:row r="49" ht="15.75" customHeight="1"/>
    <ns0:row r="50" ht="15.75" customHeight="1"/>
    <ns0:row r="51" ht="15.75" customHeight="1"/>
    <ns0:row r="52" ht="15.75" customHeight="1"/>
    <ns0:row r="53" ht="15.75" customHeight="1"/>
    <ns0:row r="54" ht="15.75" customHeight="1"/>
    <ns0:row r="55" ht="15.75" customHeight="1"/>
    <ns0:row r="56" ht="15.75" customHeight="1"/>
    <ns0:row r="57" ht="15.75" customHeight="1"/>
    <ns0:row r="58" ht="15.75" customHeight="1"/>
    <ns0:row r="59" ht="15.75" customHeight="1"/>
    <ns0:row r="60" ht="15.75" customHeight="1"/>
    <ns0:row r="61" ht="15.75" customHeight="1"/>
    <ns0:row r="62" ht="15.75" customHeight="1"/>
    <ns0:row r="63" ht="15.75" customHeight="1"/>
    <ns0:row r="64" ht="15.75" customHeight="1"/>
    <ns0:row r="65" ht="15.75" customHeight="1"/>
    <ns0:row r="66" ht="15.75" customHeight="1"/>
    <ns0:row r="67" ht="15.75" customHeight="1"/>
    <ns0:row r="68" ht="15.75" customHeight="1"/>
    <ns0:row r="69" ht="15.75" customHeight="1"/>
    <ns0:row r="70" ht="15.75" customHeight="1"/>
    <ns0:row r="71" ht="15.75" customHeight="1"/>
    <ns0:row r="72" ht="15.75" customHeight="1"/>
    <ns0:row r="73" ht="15.75" customHeight="1"/>
    <ns0:row r="74" ht="15.75" customHeight="1"/>
    <ns0:row r="75" ht="15.75" customHeight="1"/>
    <ns0:row r="76" ht="15.75" customHeight="1"/>
    <ns0:row r="77" ht="15.75" customHeight="1"/>
    <ns0:row r="78" ht="15.75" customHeight="1"/>
    <ns0:row r="79" ht="15.75" customHeight="1"/>
    <ns0:row r="80" ht="15.75" customHeight="1"/>
    <ns0:row r="81" ht="15.75" customHeight="1"/>
    <ns0:row r="82" ht="15.75" customHeight="1"/>
    <ns0:row r="83" ht="15.75" customHeight="1"/>
    <ns0:row r="84" ht="15.75" customHeight="1"/>
    <ns0:row r="85" ht="15.75" customHeight="1"/>
    <ns0:row r="86" ht="15.75" customHeight="1"/>
    <ns0:row r="87" ht="15.75" customHeight="1"/>
    <ns0:row r="88" ht="15.75" customHeight="1"/>
    <ns0:row r="89" ht="15.75" customHeight="1"/>
    <ns0:row r="90" ht="15.75" customHeight="1"/>
    <ns0:row r="91" ht="15.75" customHeight="1"/>
    <ns0:row r="92" ht="15.75" customHeight="1"/>
    <ns0:row r="93" ht="15.75" customHeight="1"/>
    <ns0:row r="94" ht="15.75" customHeight="1"/>
    <ns0:row r="95" ht="15.75" customHeight="1"/>
    <ns0:row r="96" ht="15.75" customHeight="1"/>
    <ns0:row r="97" ht="15.75" customHeight="1"/>
    <ns0:row r="98" ht="15.75" customHeight="1"/>
    <ns0:row r="99" ht="15.75" customHeight="1"/>
    <ns0:row r="100" ht="15.75" customHeight="1"/>
    <ns0:row r="101" ht="15.75" customHeight="1"/>
    <ns0:row r="102" ht="15.75" customHeight="1"/>
    <ns0:row r="103" ht="15.75" customHeight="1"/>
    <ns0:row r="104" ht="15.75" customHeight="1"/>
    <ns0:row r="105" ht="15.75" customHeight="1"/>
    <ns0:row r="106" ht="15.75" customHeight="1"/>
    <ns0:row r="107" ht="15.75" customHeight="1"/>
    <ns0:row r="108" ht="15.75" customHeight="1"/>
    <ns0:row r="109" ht="15.75" customHeight="1"/>
    <ns0:row r="110" ht="15.75" customHeight="1"/>
    <ns0:row r="111" ht="15.75" customHeight="1"/>
    <ns0:row r="112" ht="15.75" customHeight="1"/>
    <ns0:row r="113" ht="15.75" customHeight="1"/>
    <ns0:row r="114" ht="15.75" customHeight="1"/>
    <ns0:row r="115" ht="15.75" customHeight="1"/>
    <ns0:row r="116" ht="15.75" customHeight="1"/>
    <ns0:row r="117" ht="15.75" customHeight="1"/>
    <ns0:row r="118" ht="15.75" customHeight="1"/>
    <ns0:row r="119" ht="15.75" customHeight="1"/>
    <ns0:row r="120" ht="15.75" customHeight="1"/>
    <ns0:row r="121" ht="15.75" customHeight="1"/>
    <ns0:row r="122" ht="15.75" customHeight="1"/>
    <ns0:row r="123" ht="15.75" customHeight="1"/>
    <ns0:row r="124" ht="15.75" customHeight="1"/>
    <ns0:row r="125" ht="15.75" customHeight="1"/>
    <ns0:row r="126" ht="15.75" customHeight="1"/>
    <ns0:row r="127" ht="15.75" customHeight="1"/>
    <ns0:row r="128" ht="15.75" customHeight="1"/>
    <ns0:row r="129" ht="15.75" customHeight="1"/>
    <ns0:row r="130" ht="15.75" customHeight="1"/>
    <ns0:row r="131" ht="15.75" customHeight="1"/>
    <ns0:row r="132" ht="15.75" customHeight="1"/>
    <ns0:row r="133" ht="15.75" customHeight="1"/>
    <ns0:row r="134" ht="15.75" customHeight="1"/>
    <ns0:row r="135" ht="15.75" customHeight="1"/>
    <ns0:row r="136" ht="15.75" customHeight="1"/>
    <ns0:row r="137" ht="15.75" customHeight="1"/>
    <ns0:row r="138" ht="15.75" customHeight="1"/>
    <ns0:row r="139" ht="15.75" customHeight="1"/>
    <ns0:row r="140" ht="15.75" customHeight="1"/>
    <ns0:row r="141" ht="15.75" customHeight="1"/>
    <ns0:row r="142" ht="15.75" customHeight="1"/>
    <ns0:row r="143" ht="15.75" customHeight="1"/>
    <ns0:row r="144" ht="15.75" customHeight="1"/>
    <ns0:row r="145" ht="15.75" customHeight="1"/>
    <ns0:row r="146" ht="15.75" customHeight="1"/>
    <ns0:row r="147" ht="15.75" customHeight="1"/>
    <ns0:row r="148" ht="15.75" customHeight="1"/>
    <ns0:row r="149" ht="15.75" customHeight="1"/>
    <ns0:row r="150" ht="15.75" customHeight="1"/>
    <ns0:row r="151" ht="15.75" customHeight="1"/>
    <ns0:row r="152" ht="15.75" customHeight="1"/>
    <ns0:row r="153" ht="15.75" customHeight="1"/>
    <ns0:row r="154" ht="15.75" customHeight="1"/>
    <ns0:row r="155" ht="15.75" customHeight="1"/>
    <ns0:row r="156" ht="15.75" customHeight="1"/>
    <ns0:row r="157" ht="15.75" customHeight="1"/>
    <ns0:row r="158" ht="15.75" customHeight="1"/>
    <ns0:row r="159" ht="15.75" customHeight="1"/>
    <ns0:row r="160" ht="15.75" customHeight="1"/>
    <ns0:row r="161" ht="15.75" customHeight="1"/>
    <ns0:row r="162" ht="15.75" customHeight="1"/>
    <ns0:row r="163" ht="15.75" customHeight="1"/>
    <ns0:row r="164" ht="15.75" customHeight="1"/>
    <ns0:row r="165" ht="15.75" customHeight="1"/>
    <ns0:row r="166" ht="15.75" customHeight="1"/>
    <ns0:row r="167" ht="15.75" customHeight="1"/>
    <ns0:row r="168" ht="15.75" customHeight="1"/>
    <ns0:row r="169" ht="15.75" customHeight="1"/>
    <ns0:row r="170" ht="15.75" customHeight="1"/>
    <ns0:row r="171" ht="15.75" customHeight="1"/>
    <ns0:row r="172" ht="15.75" customHeight="1"/>
    <ns0:row r="173" ht="15.75" customHeight="1"/>
    <ns0:row r="174" ht="15.75" customHeight="1"/>
    <ns0:row r="175" ht="15.75" customHeight="1"/>
    <ns0:row r="176" ht="15.75" customHeight="1"/>
    <ns0:row r="177" ht="15.75" customHeight="1"/>
    <ns0:row r="178" ht="15.75" customHeight="1"/>
    <ns0:row r="179" ht="15.75" customHeight="1"/>
    <ns0:row r="180" ht="15.75" customHeight="1"/>
    <ns0:row r="181" ht="15.75" customHeight="1"/>
    <ns0:row r="182" ht="15.75" customHeight="1"/>
    <ns0:row r="183" ht="15.75" customHeight="1"/>
    <ns0:row r="184" ht="15.75" customHeight="1"/>
    <ns0:row r="185" ht="15.75" customHeight="1"/>
    <ns0:row r="186" ht="15.75" customHeight="1"/>
    <ns0:row r="187" ht="15.75" customHeight="1"/>
    <ns0:row r="188" ht="15.75" customHeight="1"/>
    <ns0:row r="189" ht="15.75" customHeight="1"/>
    <ns0:row r="190" ht="15.75" customHeight="1"/>
    <ns0:row r="191" ht="15.75" customHeight="1"/>
    <ns0:row r="192" ht="15.75" customHeight="1"/>
    <ns0:row r="193" ht="15.75" customHeight="1"/>
    <ns0:row r="194" ht="15.75" customHeight="1"/>
    <ns0:row r="195" ht="15.75" customHeight="1"/>
    <ns0:row r="196" ht="15.75" customHeight="1"/>
    <ns0:row r="197" ht="15.75" customHeight="1"/>
    <ns0:row r="198" ht="15.75" customHeight="1"/>
    <ns0:row r="199" ht="15.75" customHeight="1"/>
    <ns0:row r="200" ht="15.75" customHeight="1"/>
    <ns0:row r="201" ht="15.75" customHeight="1"/>
    <ns0:row r="202" ht="15.75" customHeight="1"/>
    <ns0:row r="203" ht="15.75" customHeight="1"/>
    <ns0:row r="204" ht="15.75" customHeight="1"/>
    <ns0:row r="205" ht="15.75" customHeight="1"/>
    <ns0:row r="206" ht="15.75" customHeight="1"/>
    <ns0:row r="207" ht="15.75" customHeight="1"/>
    <ns0:row r="208" ht="15.75" customHeight="1"/>
    <ns0:row r="209" ht="15.75" customHeight="1"/>
    <ns0:row r="210" ht="15.75" customHeight="1"/>
    <ns0:row r="211" ht="15.75" customHeight="1"/>
    <ns0:row r="212" ht="15.75" customHeight="1"/>
    <ns0:row r="213" ht="15.75" customHeight="1"/>
    <ns0:row r="214" ht="15.75" customHeight="1"/>
    <ns0:row r="215" ht="15.75" customHeight="1"/>
    <ns0:row r="216" ht="15.75" customHeight="1"/>
    <ns0:row r="217" ht="15.75" customHeight="1"/>
    <ns0:row r="218" ht="15.75" customHeight="1"/>
    <ns0:row r="219" ht="15.75" customHeight="1"/>
    <ns0:row r="220" ht="15.75" customHeight="1"/>
    <ns0:row r="221" ht="15.75" customHeight="1"/>
    <ns0:row r="222" ht="15.75" customHeight="1"/>
    <ns0:row r="223" ht="15.75" customHeight="1"/>
    <ns0:row r="224" ht="15.75" customHeight="1"/>
    <ns0:row r="225" ht="15.75" customHeight="1"/>
    <ns0:row r="226" ht="15.75" customHeight="1"/>
    <ns0:row r="227" ht="15.75" customHeight="1"/>
    <ns0:row r="228" ht="15.75" customHeight="1"/>
    <ns0:row r="229" ht="15.75" customHeight="1"/>
    <ns0:row r="230" ht="15.75" customHeight="1"/>
    <ns0:row r="231" ht="15.75" customHeight="1"/>
    <ns0:row r="232" ht="15.75" customHeight="1"/>
    <ns0:row r="233" ht="15.75" customHeight="1"/>
    <ns0:row r="234" ht="15.75" customHeight="1"/>
    <ns0:row r="235" ht="15.75" customHeight="1"/>
    <ns0:row r="236" ht="15.75" customHeight="1"/>
    <ns0:row r="237" ht="15.75" customHeight="1"/>
    <ns0:row r="238" ht="15.75" customHeight="1"/>
    <ns0:row r="239" ht="15.75" customHeight="1"/>
    <ns0:row r="240" ht="15.75" customHeight="1"/>
    <ns0:row r="241" ht="15.75" customHeight="1"/>
    <ns0:row r="242" ht="15.75" customHeight="1"/>
    <ns0:row r="243" ht="15.75" customHeight="1"/>
    <ns0:row r="244" ht="15.75" customHeight="1"/>
    <ns0:row r="245" ht="15.75" customHeight="1"/>
    <ns0:row r="246" ht="15.75" customHeight="1"/>
    <ns0:row r="247" ht="15.75" customHeight="1"/>
    <ns0:row r="248" ht="15.75" customHeight="1"/>
    <ns0:row r="249" ht="15.75" customHeight="1"/>
    <ns0:row r="250" ht="15.75" customHeight="1"/>
    <ns0:row r="251" ht="15.75" customHeight="1"/>
    <ns0:row r="252" ht="15.75" customHeight="1"/>
    <ns0:row r="253" ht="15.75" customHeight="1"/>
    <ns0:row r="254" ht="15.75" customHeight="1"/>
    <ns0:row r="255" ht="15.75" customHeight="1"/>
    <ns0:row r="256" ht="15.75" customHeight="1"/>
    <ns0:row r="257" ht="15.75" customHeight="1"/>
    <ns0:row r="258" ht="15.75" customHeight="1"/>
    <ns0:row r="259" ht="15.75" customHeight="1"/>
    <ns0:row r="260" ht="15.75" customHeight="1"/>
    <ns0:row r="261" ht="15.75" customHeight="1"/>
    <ns0:row r="262" ht="15.75" customHeight="1"/>
    <ns0:row r="263" ht="15.75" customHeight="1"/>
    <ns0:row r="264" ht="15.75" customHeight="1"/>
    <ns0:row r="265" ht="15.75" customHeight="1"/>
    <ns0:row r="266" ht="15.75" customHeight="1"/>
    <ns0:row r="267" ht="15.75" customHeight="1"/>
    <ns0:row r="268" ht="15.75" customHeight="1"/>
    <ns0:row r="269" ht="15.75" customHeight="1"/>
    <ns0:row r="270" ht="15.75" customHeight="1"/>
    <ns0:row r="271" ht="15.75" customHeight="1"/>
    <ns0:row r="272" ht="15.75" customHeight="1"/>
    <ns0:row r="273" ht="15.75" customHeight="1"/>
    <ns0:row r="274" ht="15.75" customHeight="1"/>
    <ns0:row r="275" ht="15.75" customHeight="1"/>
    <ns0:row r="276" ht="15.75" customHeight="1"/>
    <ns0:row r="277" ht="15.75" customHeight="1"/>
    <ns0:row r="278" ht="15.75" customHeight="1"/>
    <ns0:row r="279" ht="15.75" customHeight="1"/>
    <ns0:row r="280" ht="15.75" customHeight="1"/>
    <ns0:row r="281" ht="15.75" customHeight="1"/>
    <ns0:row r="282" ht="15.75" customHeight="1"/>
    <ns0:row r="283" ht="15.75" customHeight="1"/>
    <ns0:row r="284" ht="15.75" customHeight="1"/>
    <ns0:row r="285" ht="15.75" customHeight="1"/>
    <ns0:row r="286" ht="15.75" customHeight="1"/>
    <ns0:row r="287" ht="15.75" customHeight="1"/>
    <ns0:row r="288" ht="15.75" customHeight="1"/>
    <ns0:row r="289" ht="15.75" customHeight="1"/>
    <ns0:row r="290" ht="15.75" customHeight="1"/>
    <ns0:row r="291" ht="15.75" customHeight="1"/>
    <ns0:row r="292" ht="15.75" customHeight="1"/>
    <ns0:row r="293" ht="15.75" customHeight="1"/>
    <ns0:row r="294" ht="15.75" customHeight="1"/>
    <ns0:row r="295" ht="15.75" customHeight="1"/>
    <ns0:row r="296" ht="15.75" customHeight="1"/>
    <ns0:row r="297" ht="15.75" customHeight="1"/>
    <ns0:row r="298" ht="15.75" customHeight="1"/>
    <ns0:row r="299" ht="15.75" customHeight="1"/>
    <ns0:row r="300" ht="15.75" customHeight="1"/>
    <ns0:row r="301" ht="15.75" customHeight="1"/>
    <ns0:row r="302" ht="15.75" customHeight="1"/>
    <ns0:row r="303" ht="15.75" customHeight="1"/>
    <ns0:row r="304" ht="15.75" customHeight="1"/>
    <ns0:row r="305" ht="15.75" customHeight="1"/>
    <ns0:row r="306" ht="15.75" customHeight="1"/>
    <ns0:row r="307" ht="15.75" customHeight="1"/>
    <ns0:row r="308" ht="15.75" customHeight="1"/>
    <ns0:row r="309" ht="15.75" customHeight="1"/>
    <ns0:row r="310" ht="15.75" customHeight="1"/>
    <ns0:row r="311" ht="15.75" customHeight="1"/>
    <ns0:row r="312" ht="15.75" customHeight="1"/>
    <ns0:row r="313" ht="15.75" customHeight="1"/>
    <ns0:row r="314" ht="15.75" customHeight="1"/>
    <ns0:row r="315" ht="15.75" customHeight="1"/>
    <ns0:row r="316" ht="15.75" customHeight="1"/>
    <ns0:row r="317" ht="15.75" customHeight="1"/>
    <ns0:row r="318" ht="15.75" customHeight="1"/>
    <ns0:row r="319" ht="15.75" customHeight="1"/>
    <ns0:row r="320" ht="15.75" customHeight="1"/>
    <ns0:row r="321" ht="15.75" customHeight="1"/>
    <ns0:row r="322" ht="15.75" customHeight="1"/>
    <ns0:row r="323" ht="15.75" customHeight="1"/>
    <ns0:row r="324" ht="15.75" customHeight="1"/>
    <ns0:row r="325" ht="15.75" customHeight="1"/>
    <ns0:row r="326" ht="15.75" customHeight="1"/>
    <ns0:row r="327" ht="15.75" customHeight="1"/>
    <ns0:row r="328" ht="15.75" customHeight="1"/>
    <ns0:row r="329" ht="15.75" customHeight="1"/>
    <ns0:row r="330" ht="15.75" customHeight="1"/>
    <ns0:row r="331" ht="15.75" customHeight="1"/>
    <ns0:row r="332" ht="15.75" customHeight="1"/>
    <ns0:row r="333" ht="15.75" customHeight="1"/>
    <ns0:row r="334" ht="15.75" customHeight="1"/>
    <ns0:row r="335" ht="15.75" customHeight="1"/>
    <ns0:row r="336" ht="15.75" customHeight="1"/>
    <ns0:row r="337" ht="15.75" customHeight="1"/>
    <ns0:row r="338" ht="15.75" customHeight="1"/>
    <ns0:row r="339" ht="15.75" customHeight="1"/>
    <ns0:row r="340" ht="15.75" customHeight="1"/>
    <ns0:row r="341" ht="15.75" customHeight="1"/>
    <ns0:row r="342" ht="15.75" customHeight="1"/>
    <ns0:row r="343" ht="15.75" customHeight="1"/>
    <ns0:row r="344" ht="15.75" customHeight="1"/>
    <ns0:row r="345" ht="15.75" customHeight="1"/>
    <ns0:row r="346" ht="15.75" customHeight="1"/>
    <ns0:row r="347" ht="15.75" customHeight="1"/>
    <ns0:row r="348" ht="15.75" customHeight="1"/>
    <ns0:row r="349" ht="15.75" customHeight="1"/>
    <ns0:row r="350" ht="15.75" customHeight="1"/>
    <ns0:row r="351" ht="15.75" customHeight="1"/>
    <ns0:row r="352" ht="15.75" customHeight="1"/>
    <ns0:row r="353" ht="15.75" customHeight="1"/>
    <ns0:row r="354" ht="15.75" customHeight="1"/>
    <ns0:row r="355" ht="15.75" customHeight="1"/>
    <ns0:row r="356" ht="15.75" customHeight="1"/>
    <ns0:row r="357" ht="15.75" customHeight="1"/>
    <ns0:row r="358" ht="15.75" customHeight="1"/>
    <ns0:row r="359" ht="15.75" customHeight="1"/>
    <ns0:row r="360" ht="15.75" customHeight="1"/>
    <ns0:row r="361" ht="15.75" customHeight="1"/>
    <ns0:row r="362" ht="15.75" customHeight="1"/>
    <ns0:row r="363" ht="15.75" customHeight="1"/>
    <ns0:row r="364" ht="15.75" customHeight="1"/>
    <ns0:row r="365" ht="15.75" customHeight="1"/>
    <ns0:row r="366" ht="15.75" customHeight="1"/>
    <ns0:row r="367" ht="15.75" customHeight="1"/>
    <ns0:row r="368" ht="15.75" customHeight="1"/>
    <ns0:row r="369" ht="15.75" customHeight="1"/>
    <ns0:row r="370" ht="15.75" customHeight="1"/>
    <ns0:row r="371" ht="15.75" customHeight="1"/>
    <ns0:row r="372" ht="15.75" customHeight="1"/>
    <ns0:row r="373" ht="15.75" customHeight="1"/>
    <ns0:row r="374" ht="15.75" customHeight="1"/>
    <ns0:row r="375" ht="15.75" customHeight="1"/>
    <ns0:row r="376" ht="15.75" customHeight="1"/>
    <ns0:row r="377" ht="15.75" customHeight="1"/>
    <ns0:row r="378" ht="15.75" customHeight="1"/>
    <ns0:row r="379" ht="15.75" customHeight="1"/>
    <ns0:row r="380" ht="15.75" customHeight="1"/>
    <ns0:row r="381" ht="15.75" customHeight="1"/>
    <ns0:row r="382" ht="15.75" customHeight="1"/>
    <ns0:row r="383" ht="15.75" customHeight="1"/>
    <ns0:row r="384" ht="15.75" customHeight="1"/>
    <ns0:row r="385" ht="15.75" customHeight="1"/>
    <ns0:row r="386" ht="15.75" customHeight="1"/>
    <ns0:row r="387" ht="15.75" customHeight="1"/>
    <ns0:row r="388" ht="15.75" customHeight="1"/>
    <ns0:row r="389" ht="15.75" customHeight="1"/>
    <ns0:row r="390" ht="15.75" customHeight="1"/>
    <ns0:row r="391" ht="15.75" customHeight="1"/>
    <ns0:row r="392" ht="15.75" customHeight="1"/>
    <ns0:row r="393" ht="15.75" customHeight="1"/>
    <ns0:row r="394" ht="15.75" customHeight="1"/>
    <ns0:row r="395" ht="15.75" customHeight="1"/>
    <ns0:row r="396" ht="15.75" customHeight="1"/>
    <ns0:row r="397" ht="15.75" customHeight="1"/>
    <ns0:row r="398" ht="15.75" customHeight="1"/>
    <ns0:row r="399" ht="15.75" customHeight="1"/>
    <ns0:row r="400" ht="15.75" customHeight="1"/>
    <ns0:row r="401" ht="15.75" customHeight="1"/>
    <ns0:row r="402" ht="15.75" customHeight="1"/>
    <ns0:row r="403" ht="15.75" customHeight="1"/>
    <ns0:row r="404" ht="15.75" customHeight="1"/>
    <ns0:row r="405" ht="15.75" customHeight="1"/>
    <ns0:row r="406" ht="15.75" customHeight="1"/>
    <ns0:row r="407" ht="15.75" customHeight="1"/>
    <ns0:row r="408" ht="15.75" customHeight="1"/>
    <ns0:row r="409" ht="15.75" customHeight="1"/>
    <ns0:row r="410" ht="15.75" customHeight="1"/>
    <ns0:row r="411" ht="15.75" customHeight="1"/>
    <ns0:row r="412" ht="15.75" customHeight="1"/>
    <ns0:row r="413" ht="15.75" customHeight="1"/>
    <ns0:row r="414" ht="15.75" customHeight="1"/>
    <ns0:row r="415" ht="15.75" customHeight="1"/>
    <ns0:row r="416" ht="15.75" customHeight="1"/>
    <ns0:row r="417" ht="15.75" customHeight="1"/>
    <ns0:row r="418" ht="15.75" customHeight="1"/>
    <ns0:row r="419" ht="15.75" customHeight="1"/>
    <ns0:row r="420" ht="15.75" customHeight="1"/>
    <ns0:row r="421" ht="15.75" customHeight="1"/>
    <ns0:row r="422" ht="15.75" customHeight="1"/>
    <ns0:row r="423" ht="15.75" customHeight="1"/>
    <ns0:row r="424" ht="15.75" customHeight="1"/>
    <ns0:row r="425" ht="15.75" customHeight="1"/>
    <ns0:row r="426" ht="15.75" customHeight="1"/>
    <ns0:row r="427" ht="15.75" customHeight="1"/>
    <ns0:row r="428" ht="15.75" customHeight="1"/>
    <ns0:row r="429" ht="15.75" customHeight="1"/>
    <ns0:row r="430" ht="15.75" customHeight="1"/>
    <ns0:row r="431" ht="15.75" customHeight="1"/>
    <ns0:row r="432" ht="15.75" customHeight="1"/>
    <ns0:row r="433" ht="15.75" customHeight="1"/>
    <ns0:row r="434" ht="15.75" customHeight="1"/>
    <ns0:row r="435" ht="15.75" customHeight="1"/>
    <ns0:row r="436" ht="15.75" customHeight="1"/>
    <ns0:row r="437" ht="15.75" customHeight="1"/>
    <ns0:row r="438" ht="15.75" customHeight="1"/>
    <ns0:row r="439" ht="15.75" customHeight="1"/>
    <ns0:row r="440" ht="15.75" customHeight="1"/>
    <ns0:row r="441" ht="15.75" customHeight="1"/>
    <ns0:row r="442" ht="15.75" customHeight="1"/>
    <ns0:row r="443" ht="15.75" customHeight="1"/>
    <ns0:row r="444" ht="15.75" customHeight="1"/>
    <ns0:row r="445" ht="15.75" customHeight="1"/>
    <ns0:row r="446" ht="15.75" customHeight="1"/>
    <ns0:row r="447" ht="15.75" customHeight="1"/>
    <ns0:row r="448" ht="15.75" customHeight="1"/>
    <ns0:row r="449" ht="15.75" customHeight="1"/>
    <ns0:row r="450" ht="15.75" customHeight="1"/>
    <ns0:row r="451" ht="15.75" customHeight="1"/>
    <ns0:row r="452" ht="15.75" customHeight="1"/>
    <ns0:row r="453" ht="15.75" customHeight="1"/>
    <ns0:row r="454" ht="15.75" customHeight="1"/>
    <ns0:row r="455" ht="15.75" customHeight="1"/>
    <ns0:row r="456" ht="15.75" customHeight="1"/>
    <ns0:row r="457" ht="15.75" customHeight="1"/>
    <ns0:row r="458" ht="15.75" customHeight="1"/>
    <ns0:row r="459" ht="15.75" customHeight="1"/>
    <ns0:row r="460" ht="15.75" customHeight="1"/>
    <ns0:row r="461" ht="15.75" customHeight="1"/>
    <ns0:row r="462" ht="15.75" customHeight="1"/>
    <ns0:row r="463" ht="15.75" customHeight="1"/>
    <ns0:row r="464" ht="15.75" customHeight="1"/>
    <ns0:row r="465" ht="15.75" customHeight="1"/>
    <ns0:row r="466" ht="15.75" customHeight="1"/>
    <ns0:row r="467" ht="15.75" customHeight="1"/>
    <ns0:row r="468" ht="15.75" customHeight="1"/>
    <ns0:row r="469" ht="15.75" customHeight="1"/>
    <ns0:row r="470" ht="15.75" customHeight="1"/>
    <ns0:row r="471" ht="15.75" customHeight="1"/>
    <ns0:row r="472" ht="15.75" customHeight="1"/>
    <ns0:row r="473" ht="15.75" customHeight="1"/>
    <ns0:row r="474" ht="15.75" customHeight="1"/>
    <ns0:row r="475" ht="15.75" customHeight="1"/>
    <ns0:row r="476" ht="15.75" customHeight="1"/>
    <ns0:row r="477" ht="15.75" customHeight="1"/>
    <ns0:row r="478" ht="15.75" customHeight="1"/>
    <ns0:row r="479" ht="15.75" customHeight="1"/>
    <ns0:row r="480" ht="15.75" customHeight="1"/>
    <ns0:row r="481" ht="15.75" customHeight="1"/>
    <ns0:row r="482" ht="15.75" customHeight="1"/>
    <ns0:row r="483" ht="15.75" customHeight="1"/>
    <ns0:row r="484" ht="15.75" customHeight="1"/>
    <ns0:row r="485" ht="15.75" customHeight="1"/>
    <ns0:row r="486" ht="15.75" customHeight="1"/>
    <ns0:row r="487" ht="15.75" customHeight="1"/>
    <ns0:row r="488" ht="15.75" customHeight="1"/>
    <ns0:row r="489" ht="15.75" customHeight="1"/>
    <ns0:row r="490" ht="15.75" customHeight="1"/>
    <ns0:row r="491" ht="15.75" customHeight="1"/>
    <ns0:row r="492" ht="15.75" customHeight="1"/>
    <ns0:row r="493" ht="15.75" customHeight="1"/>
    <ns0:row r="494" ht="15.75" customHeight="1"/>
    <ns0:row r="495" ht="15.75" customHeight="1"/>
    <ns0:row r="496" ht="15.75" customHeight="1"/>
    <ns0:row r="497" ht="15.75" customHeight="1"/>
    <ns0:row r="498" ht="15.75" customHeight="1"/>
    <ns0:row r="499" ht="15.75" customHeight="1"/>
    <ns0:row r="500" ht="15.75" customHeight="1"/>
    <ns0:row r="501" ht="15.75" customHeight="1"/>
    <ns0:row r="502" ht="15.75" customHeight="1"/>
    <ns0:row r="503" ht="15.75" customHeight="1"/>
    <ns0:row r="504" ht="15.75" customHeight="1"/>
    <ns0:row r="505" ht="15.75" customHeight="1"/>
    <ns0:row r="506" ht="15.75" customHeight="1"/>
    <ns0:row r="507" ht="15.75" customHeight="1"/>
    <ns0:row r="508" ht="15.75" customHeight="1"/>
    <ns0:row r="509" ht="15.75" customHeight="1"/>
    <ns0:row r="510" ht="15.75" customHeight="1"/>
    <ns0:row r="511" ht="15.75" customHeight="1"/>
    <ns0:row r="512" ht="15.75" customHeight="1"/>
    <ns0:row r="513" ht="15.75" customHeight="1"/>
    <ns0:row r="514" ht="15.75" customHeight="1"/>
    <ns0:row r="515" ht="15.75" customHeight="1"/>
    <ns0:row r="516" ht="15.75" customHeight="1"/>
    <ns0:row r="517" ht="15.75" customHeight="1"/>
    <ns0:row r="518" ht="15.75" customHeight="1"/>
    <ns0:row r="519" ht="15.75" customHeight="1"/>
    <ns0:row r="520" ht="15.75" customHeight="1"/>
    <ns0:row r="521" ht="15.75" customHeight="1"/>
    <ns0:row r="522" ht="15.75" customHeight="1"/>
    <ns0:row r="523" ht="15.75" customHeight="1"/>
    <ns0:row r="524" ht="15.75" customHeight="1"/>
    <ns0:row r="525" ht="15.75" customHeight="1"/>
    <ns0:row r="526" ht="15.75" customHeight="1"/>
    <ns0:row r="527" ht="15.75" customHeight="1"/>
    <ns0:row r="528" ht="15.75" customHeight="1"/>
    <ns0:row r="529" ht="15.75" customHeight="1"/>
    <ns0:row r="530" ht="15.75" customHeight="1"/>
    <ns0:row r="531" ht="15.75" customHeight="1"/>
    <ns0:row r="532" ht="15.75" customHeight="1"/>
    <ns0:row r="533" ht="15.75" customHeight="1"/>
    <ns0:row r="534" ht="15.75" customHeight="1"/>
    <ns0:row r="535" ht="15.75" customHeight="1"/>
    <ns0:row r="536" ht="15.75" customHeight="1"/>
    <ns0:row r="537" ht="15.75" customHeight="1"/>
    <ns0:row r="538" ht="15.75" customHeight="1"/>
    <ns0:row r="539" ht="15.75" customHeight="1"/>
    <ns0:row r="540" ht="15.75" customHeight="1"/>
    <ns0:row r="541" ht="15.75" customHeight="1"/>
    <ns0:row r="542" ht="15.75" customHeight="1"/>
    <ns0:row r="543" ht="15.75" customHeight="1"/>
    <ns0:row r="544" ht="15.75" customHeight="1"/>
    <ns0:row r="545" ht="15.75" customHeight="1"/>
    <ns0:row r="546" ht="15.75" customHeight="1"/>
    <ns0:row r="547" ht="15.75" customHeight="1"/>
    <ns0:row r="548" ht="15.75" customHeight="1"/>
    <ns0:row r="549" ht="15.75" customHeight="1"/>
    <ns0:row r="550" ht="15.75" customHeight="1"/>
    <ns0:row r="551" ht="15.75" customHeight="1"/>
    <ns0:row r="552" ht="15.75" customHeight="1"/>
    <ns0:row r="553" ht="15.75" customHeight="1"/>
    <ns0:row r="554" ht="15.75" customHeight="1"/>
    <ns0:row r="555" ht="15.75" customHeight="1"/>
    <ns0:row r="556" ht="15.75" customHeight="1"/>
    <ns0:row r="557" ht="15.75" customHeight="1"/>
    <ns0:row r="558" ht="15.75" customHeight="1"/>
    <ns0:row r="559" ht="15.75" customHeight="1"/>
    <ns0:row r="560" ht="15.75" customHeight="1"/>
    <ns0:row r="561" ht="15.75" customHeight="1"/>
    <ns0:row r="562" ht="15.75" customHeight="1"/>
    <ns0:row r="563" ht="15.75" customHeight="1"/>
    <ns0:row r="564" ht="15.75" customHeight="1"/>
    <ns0:row r="565" ht="15.75" customHeight="1"/>
    <ns0:row r="566" ht="15.75" customHeight="1"/>
    <ns0:row r="567" ht="15.75" customHeight="1"/>
    <ns0:row r="568" ht="15.75" customHeight="1"/>
    <ns0:row r="569" ht="15.75" customHeight="1"/>
    <ns0:row r="570" ht="15.75" customHeight="1"/>
    <ns0:row r="571" ht="15.75" customHeight="1"/>
    <ns0:row r="572" ht="15.75" customHeight="1"/>
    <ns0:row r="573" ht="15.75" customHeight="1"/>
    <ns0:row r="574" ht="15.75" customHeight="1"/>
    <ns0:row r="575" ht="15.75" customHeight="1"/>
    <ns0:row r="576" ht="15.75" customHeight="1"/>
    <ns0:row r="577" ht="15.75" customHeight="1"/>
    <ns0:row r="578" ht="15.75" customHeight="1"/>
    <ns0:row r="579" ht="15.75" customHeight="1"/>
    <ns0:row r="580" ht="15.75" customHeight="1"/>
    <ns0:row r="581" ht="15.75" customHeight="1"/>
    <ns0:row r="582" ht="15.75" customHeight="1"/>
    <ns0:row r="583" ht="15.75" customHeight="1"/>
    <ns0:row r="584" ht="15.75" customHeight="1"/>
    <ns0:row r="585" ht="15.75" customHeight="1"/>
    <ns0:row r="586" ht="15.75" customHeight="1"/>
    <ns0:row r="587" ht="15.75" customHeight="1"/>
    <ns0:row r="588" ht="15.75" customHeight="1"/>
    <ns0:row r="589" ht="15.75" customHeight="1"/>
    <ns0:row r="590" ht="15.75" customHeight="1"/>
    <ns0:row r="591" ht="15.75" customHeight="1"/>
    <ns0:row r="592" ht="15.75" customHeight="1"/>
    <ns0:row r="593" ht="15.75" customHeight="1"/>
    <ns0:row r="594" ht="15.75" customHeight="1"/>
    <ns0:row r="595" ht="15.75" customHeight="1"/>
    <ns0:row r="596" ht="15.75" customHeight="1"/>
    <ns0:row r="597" ht="15.75" customHeight="1"/>
    <ns0:row r="598" ht="15.75" customHeight="1"/>
    <ns0:row r="599" ht="15.75" customHeight="1"/>
    <ns0:row r="600" ht="15.75" customHeight="1"/>
    <ns0:row r="601" ht="15.75" customHeight="1"/>
    <ns0:row r="602" ht="15.75" customHeight="1"/>
    <ns0:row r="603" ht="15.75" customHeight="1"/>
    <ns0:row r="604" ht="15.75" customHeight="1"/>
    <ns0:row r="605" ht="15.75" customHeight="1"/>
    <ns0:row r="606" ht="15.75" customHeight="1"/>
    <ns0:row r="607" ht="15.75" customHeight="1"/>
    <ns0:row r="608" ht="15.75" customHeight="1"/>
    <ns0:row r="609" ht="15.75" customHeight="1"/>
    <ns0:row r="610" ht="15.75" customHeight="1"/>
    <ns0:row r="611" ht="15.75" customHeight="1"/>
    <ns0:row r="612" ht="15.75" customHeight="1"/>
    <ns0:row r="613" ht="15.75" customHeight="1"/>
    <ns0:row r="614" ht="15.75" customHeight="1"/>
    <ns0:row r="615" ht="15.75" customHeight="1"/>
    <ns0:row r="616" ht="15.75" customHeight="1"/>
    <ns0:row r="617" ht="15.75" customHeight="1"/>
    <ns0:row r="618" ht="15.75" customHeight="1"/>
    <ns0:row r="619" ht="15.75" customHeight="1"/>
    <ns0:row r="620" ht="15.75" customHeight="1"/>
    <ns0:row r="621" ht="15.75" customHeight="1"/>
    <ns0:row r="622" ht="15.75" customHeight="1"/>
    <ns0:row r="623" ht="15.75" customHeight="1"/>
    <ns0:row r="624" ht="15.75" customHeight="1"/>
    <ns0:row r="625" ht="15.75" customHeight="1"/>
    <ns0:row r="626" ht="15.75" customHeight="1"/>
    <ns0:row r="627" ht="15.75" customHeight="1"/>
    <ns0:row r="628" ht="15.75" customHeight="1"/>
    <ns0:row r="629" ht="15.75" customHeight="1"/>
    <ns0:row r="630" ht="15.75" customHeight="1"/>
    <ns0:row r="631" ht="15.75" customHeight="1"/>
    <ns0:row r="632" ht="15.75" customHeight="1"/>
    <ns0:row r="633" ht="15.75" customHeight="1"/>
    <ns0:row r="634" ht="15.75" customHeight="1"/>
    <ns0:row r="635" ht="15.75" customHeight="1"/>
    <ns0:row r="636" ht="15.75" customHeight="1"/>
    <ns0:row r="637" ht="15.75" customHeight="1"/>
    <ns0:row r="638" ht="15.75" customHeight="1"/>
    <ns0:row r="639" ht="15.75" customHeight="1"/>
    <ns0:row r="640" ht="15.75" customHeight="1"/>
    <ns0:row r="641" ht="15.75" customHeight="1"/>
    <ns0:row r="642" ht="15.75" customHeight="1"/>
    <ns0:row r="643" ht="15.75" customHeight="1"/>
    <ns0:row r="644" ht="15.75" customHeight="1"/>
    <ns0:row r="645" ht="15.75" customHeight="1"/>
    <ns0:row r="646" ht="15.75" customHeight="1"/>
    <ns0:row r="647" ht="15.75" customHeight="1"/>
    <ns0:row r="648" ht="15.75" customHeight="1"/>
    <ns0:row r="649" ht="15.75" customHeight="1"/>
    <ns0:row r="650" ht="15.75" customHeight="1"/>
    <ns0:row r="651" ht="15.75" customHeight="1"/>
    <ns0:row r="652" ht="15.75" customHeight="1"/>
    <ns0:row r="653" ht="15.75" customHeight="1"/>
    <ns0:row r="654" ht="15.75" customHeight="1"/>
    <ns0:row r="655" ht="15.75" customHeight="1"/>
    <ns0:row r="656" ht="15.75" customHeight="1"/>
    <ns0:row r="657" ht="15.75" customHeight="1"/>
    <ns0:row r="658" ht="15.75" customHeight="1"/>
    <ns0:row r="659" ht="15.75" customHeight="1"/>
    <ns0:row r="660" ht="15.75" customHeight="1"/>
    <ns0:row r="661" ht="15.75" customHeight="1"/>
    <ns0:row r="662" ht="15.75" customHeight="1"/>
    <ns0:row r="663" ht="15.75" customHeight="1"/>
    <ns0:row r="664" ht="15.75" customHeight="1"/>
    <ns0:row r="665" ht="15.75" customHeight="1"/>
    <ns0:row r="666" ht="15.75" customHeight="1"/>
    <ns0:row r="667" ht="15.75" customHeight="1"/>
    <ns0:row r="668" ht="15.75" customHeight="1"/>
    <ns0:row r="669" ht="15.75" customHeight="1"/>
    <ns0:row r="670" ht="15.75" customHeight="1"/>
    <ns0:row r="671" ht="15.75" customHeight="1"/>
    <ns0:row r="672" ht="15.75" customHeight="1"/>
    <ns0:row r="673" ht="15.75" customHeight="1"/>
    <ns0:row r="674" ht="15.75" customHeight="1"/>
    <ns0:row r="675" ht="15.75" customHeight="1"/>
    <ns0:row r="676" ht="15.75" customHeight="1"/>
    <ns0:row r="677" ht="15.75" customHeight="1"/>
    <ns0:row r="678" ht="15.75" customHeight="1"/>
    <ns0:row r="679" ht="15.75" customHeight="1"/>
    <ns0:row r="680" ht="15.75" customHeight="1"/>
    <ns0:row r="681" ht="15.75" customHeight="1"/>
    <ns0:row r="682" ht="15.75" customHeight="1"/>
    <ns0:row r="683" ht="15.75" customHeight="1"/>
    <ns0:row r="684" ht="15.75" customHeight="1"/>
    <ns0:row r="685" ht="15.75" customHeight="1"/>
    <ns0:row r="686" ht="15.75" customHeight="1"/>
    <ns0:row r="687" ht="15.75" customHeight="1"/>
    <ns0:row r="688" ht="15.75" customHeight="1"/>
    <ns0:row r="689" ht="15.75" customHeight="1"/>
    <ns0:row r="690" ht="15.75" customHeight="1"/>
    <ns0:row r="691" ht="15.75" customHeight="1"/>
    <ns0:row r="692" ht="15.75" customHeight="1"/>
    <ns0:row r="693" ht="15.75" customHeight="1"/>
    <ns0:row r="694" ht="15.75" customHeight="1"/>
    <ns0:row r="695" ht="15.75" customHeight="1"/>
    <ns0:row r="696" ht="15.75" customHeight="1"/>
    <ns0:row r="697" ht="15.75" customHeight="1"/>
    <ns0:row r="698" ht="15.75" customHeight="1"/>
    <ns0:row r="699" ht="15.75" customHeight="1"/>
    <ns0:row r="700" ht="15.75" customHeight="1"/>
    <ns0:row r="701" ht="15.75" customHeight="1"/>
    <ns0:row r="702" ht="15.75" customHeight="1"/>
    <ns0:row r="703" ht="15.75" customHeight="1"/>
    <ns0:row r="704" ht="15.75" customHeight="1"/>
    <ns0:row r="705" ht="15.75" customHeight="1"/>
    <ns0:row r="706" ht="15.75" customHeight="1"/>
    <ns0:row r="707" ht="15.75" customHeight="1"/>
    <ns0:row r="708" ht="15.75" customHeight="1"/>
    <ns0:row r="709" ht="15.75" customHeight="1"/>
    <ns0:row r="710" ht="15.75" customHeight="1"/>
    <ns0:row r="711" ht="15.75" customHeight="1"/>
    <ns0:row r="712" ht="15.75" customHeight="1"/>
    <ns0:row r="713" ht="15.75" customHeight="1"/>
    <ns0:row r="714" ht="15.75" customHeight="1"/>
    <ns0:row r="715" ht="15.75" customHeight="1"/>
    <ns0:row r="716" ht="15.75" customHeight="1"/>
    <ns0:row r="717" ht="15.75" customHeight="1"/>
    <ns0:row r="718" ht="15.75" customHeight="1"/>
    <ns0:row r="719" ht="15.75" customHeight="1"/>
    <ns0:row r="720" ht="15.75" customHeight="1"/>
    <ns0:row r="721" ht="15.75" customHeight="1"/>
    <ns0:row r="722" ht="15.75" customHeight="1"/>
    <ns0:row r="723" ht="15.75" customHeight="1"/>
    <ns0:row r="724" ht="15.75" customHeight="1"/>
    <ns0:row r="725" ht="15.75" customHeight="1"/>
    <ns0:row r="726" ht="15.75" customHeight="1"/>
    <ns0:row r="727" ht="15.75" customHeight="1"/>
    <ns0:row r="728" ht="15.75" customHeight="1"/>
    <ns0:row r="729" ht="15.75" customHeight="1"/>
    <ns0:row r="730" ht="15.75" customHeight="1"/>
    <ns0:row r="731" ht="15.75" customHeight="1"/>
    <ns0:row r="732" ht="15.75" customHeight="1"/>
    <ns0:row r="733" ht="15.75" customHeight="1"/>
    <ns0:row r="734" ht="15.75" customHeight="1"/>
    <ns0:row r="735" ht="15.75" customHeight="1"/>
    <ns0:row r="736" ht="15.75" customHeight="1"/>
    <ns0:row r="737" ht="15.75" customHeight="1"/>
    <ns0:row r="738" ht="15.75" customHeight="1"/>
    <ns0:row r="739" ht="15.75" customHeight="1"/>
    <ns0:row r="740" ht="15.75" customHeight="1"/>
    <ns0:row r="741" ht="15.75" customHeight="1"/>
    <ns0:row r="742" ht="15.75" customHeight="1"/>
    <ns0:row r="743" ht="15.75" customHeight="1"/>
    <ns0:row r="744" ht="15.75" customHeight="1"/>
    <ns0:row r="745" ht="15.75" customHeight="1"/>
    <ns0:row r="746" ht="15.75" customHeight="1"/>
    <ns0:row r="747" ht="15.75" customHeight="1"/>
    <ns0:row r="748" ht="15.75" customHeight="1"/>
    <ns0:row r="749" ht="15.75" customHeight="1"/>
    <ns0:row r="750" ht="15.75" customHeight="1"/>
    <ns0:row r="751" ht="15.75" customHeight="1"/>
    <ns0:row r="752" ht="15.75" customHeight="1"/>
    <ns0:row r="753" ht="15.75" customHeight="1"/>
    <ns0:row r="754" ht="15.75" customHeight="1"/>
    <ns0:row r="755" ht="15.75" customHeight="1"/>
    <ns0:row r="756" ht="15.75" customHeight="1"/>
    <ns0:row r="757" ht="15.75" customHeight="1"/>
    <ns0:row r="758" ht="15.75" customHeight="1"/>
    <ns0:row r="759" ht="15.75" customHeight="1"/>
    <ns0:row r="760" ht="15.75" customHeight="1"/>
    <ns0:row r="761" ht="15.75" customHeight="1"/>
    <ns0:row r="762" ht="15.75" customHeight="1"/>
    <ns0:row r="763" ht="15.75" customHeight="1"/>
    <ns0:row r="764" ht="15.75" customHeight="1"/>
    <ns0:row r="765" ht="15.75" customHeight="1"/>
    <ns0:row r="766" ht="15.75" customHeight="1"/>
    <ns0:row r="767" ht="15.75" customHeight="1"/>
    <ns0:row r="768" ht="15.75" customHeight="1"/>
    <ns0:row r="769" ht="15.75" customHeight="1"/>
    <ns0:row r="770" ht="15.75" customHeight="1"/>
    <ns0:row r="771" ht="15.75" customHeight="1"/>
    <ns0:row r="772" ht="15.75" customHeight="1"/>
    <ns0:row r="773" ht="15.75" customHeight="1"/>
    <ns0:row r="774" ht="15.75" customHeight="1"/>
    <ns0:row r="775" ht="15.75" customHeight="1"/>
    <ns0:row r="776" ht="15.75" customHeight="1"/>
    <ns0:row r="777" ht="15.75" customHeight="1"/>
    <ns0:row r="778" ht="15.75" customHeight="1"/>
    <ns0:row r="779" ht="15.75" customHeight="1"/>
    <ns0:row r="780" ht="15.75" customHeight="1"/>
    <ns0:row r="781" ht="15.75" customHeight="1"/>
    <ns0:row r="782" ht="15.75" customHeight="1"/>
    <ns0:row r="783" ht="15.75" customHeight="1"/>
    <ns0:row r="784" ht="15.75" customHeight="1"/>
    <ns0:row r="785" ht="15.75" customHeight="1"/>
    <ns0:row r="786" ht="15.75" customHeight="1"/>
    <ns0:row r="787" ht="15.75" customHeight="1"/>
    <ns0:row r="788" ht="15.75" customHeight="1"/>
    <ns0:row r="789" ht="15.75" customHeight="1"/>
    <ns0:row r="790" ht="15.75" customHeight="1"/>
    <ns0:row r="791" ht="15.75" customHeight="1"/>
    <ns0:row r="792" ht="15.75" customHeight="1"/>
    <ns0:row r="793" ht="15.75" customHeight="1"/>
    <ns0:row r="794" ht="15.75" customHeight="1"/>
    <ns0:row r="795" ht="15.75" customHeight="1"/>
    <ns0:row r="796" ht="15.75" customHeight="1"/>
    <ns0:row r="797" ht="15.75" customHeight="1"/>
    <ns0:row r="798" ht="15.75" customHeight="1"/>
    <ns0:row r="799" ht="15.75" customHeight="1"/>
    <ns0:row r="800" ht="15.75" customHeight="1"/>
    <ns0:row r="801" ht="15.75" customHeight="1"/>
    <ns0:row r="802" ht="15.75" customHeight="1"/>
    <ns0:row r="803" ht="15.75" customHeight="1"/>
    <ns0:row r="804" ht="15.75" customHeight="1"/>
    <ns0:row r="805" ht="15.75" customHeight="1"/>
    <ns0:row r="806" ht="15.75" customHeight="1"/>
    <ns0:row r="807" ht="15.75" customHeight="1"/>
    <ns0:row r="808" ht="15.75" customHeight="1"/>
    <ns0:row r="809" ht="15.75" customHeight="1"/>
    <ns0:row r="810" ht="15.75" customHeight="1"/>
    <ns0:row r="811" ht="15.75" customHeight="1"/>
    <ns0:row r="812" ht="15.75" customHeight="1"/>
    <ns0:row r="813" ht="15.75" customHeight="1"/>
    <ns0:row r="814" ht="15.75" customHeight="1"/>
    <ns0:row r="815" ht="15.75" customHeight="1"/>
    <ns0:row r="816" ht="15.75" customHeight="1"/>
    <ns0:row r="817" ht="15.75" customHeight="1"/>
    <ns0:row r="818" ht="15.75" customHeight="1"/>
    <ns0:row r="819" ht="15.75" customHeight="1"/>
    <ns0:row r="820" ht="15.75" customHeight="1"/>
    <ns0:row r="821" ht="15.75" customHeight="1"/>
    <ns0:row r="822" ht="15.75" customHeight="1"/>
    <ns0:row r="823" ht="15.75" customHeight="1"/>
    <ns0:row r="824" ht="15.75" customHeight="1"/>
    <ns0:row r="825" ht="15.75" customHeight="1"/>
    <ns0:row r="826" ht="15.75" customHeight="1"/>
    <ns0:row r="827" ht="15.75" customHeight="1"/>
    <ns0:row r="828" ht="15.75" customHeight="1"/>
    <ns0:row r="829" ht="15.75" customHeight="1"/>
    <ns0:row r="830" ht="15.75" customHeight="1"/>
    <ns0:row r="831" ht="15.75" customHeight="1"/>
    <ns0:row r="832" ht="15.75" customHeight="1"/>
    <ns0:row r="833" ht="15.75" customHeight="1"/>
    <ns0:row r="834" ht="15.75" customHeight="1"/>
    <ns0:row r="835" ht="15.75" customHeight="1"/>
    <ns0:row r="836" ht="15.75" customHeight="1"/>
    <ns0:row r="837" ht="15.75" customHeight="1"/>
    <ns0:row r="838" ht="15.75" customHeight="1"/>
    <ns0:row r="839" ht="15.75" customHeight="1"/>
    <ns0:row r="840" ht="15.75" customHeight="1"/>
    <ns0:row r="841" ht="15.75" customHeight="1"/>
    <ns0:row r="842" ht="15.75" customHeight="1"/>
    <ns0:row r="843" ht="15.75" customHeight="1"/>
    <ns0:row r="844" ht="15.75" customHeight="1"/>
    <ns0:row r="845" ht="15.75" customHeight="1"/>
    <ns0:row r="846" ht="15.75" customHeight="1"/>
    <ns0:row r="847" ht="15.75" customHeight="1"/>
    <ns0:row r="848" ht="15.75" customHeight="1"/>
    <ns0:row r="849" ht="15.75" customHeight="1"/>
    <ns0:row r="850" ht="15.75" customHeight="1"/>
    <ns0:row r="851" ht="15.75" customHeight="1"/>
    <ns0:row r="852" ht="15.75" customHeight="1"/>
    <ns0:row r="853" ht="15.75" customHeight="1"/>
    <ns0:row r="854" ht="15.75" customHeight="1"/>
    <ns0:row r="855" ht="15.75" customHeight="1"/>
    <ns0:row r="856" ht="15.75" customHeight="1"/>
    <ns0:row r="857" ht="15.75" customHeight="1"/>
    <ns0:row r="858" ht="15.75" customHeight="1"/>
    <ns0:row r="859" ht="15.75" customHeight="1"/>
    <ns0:row r="860" ht="15.75" customHeight="1"/>
    <ns0:row r="861" ht="15.75" customHeight="1"/>
    <ns0:row r="862" ht="15.75" customHeight="1"/>
    <ns0:row r="863" ht="15.75" customHeight="1"/>
    <ns0:row r="864" ht="15.75" customHeight="1"/>
    <ns0:row r="865" ht="15.75" customHeight="1"/>
    <ns0:row r="866" ht="15.75" customHeight="1"/>
    <ns0:row r="867" ht="15.75" customHeight="1"/>
    <ns0:row r="868" ht="15.75" customHeight="1"/>
    <ns0:row r="869" ht="15.75" customHeight="1"/>
    <ns0:row r="870" ht="15.75" customHeight="1"/>
    <ns0:row r="871" ht="15.75" customHeight="1"/>
    <ns0:row r="872" ht="15.75" customHeight="1"/>
    <ns0:row r="873" ht="15.75" customHeight="1"/>
    <ns0:row r="874" ht="15.75" customHeight="1"/>
    <ns0:row r="875" ht="15.75" customHeight="1"/>
    <ns0:row r="876" ht="15.75" customHeight="1"/>
    <ns0:row r="877" ht="15.75" customHeight="1"/>
    <ns0:row r="878" ht="15.75" customHeight="1"/>
    <ns0:row r="879" ht="15.75" customHeight="1"/>
    <ns0:row r="880" ht="15.75" customHeight="1"/>
    <ns0:row r="881" ht="15.75" customHeight="1"/>
    <ns0:row r="882" ht="15.75" customHeight="1"/>
    <ns0:row r="883" ht="15.75" customHeight="1"/>
    <ns0:row r="884" ht="15.75" customHeight="1"/>
    <ns0:row r="885" ht="15.75" customHeight="1"/>
    <ns0:row r="886" ht="15.75" customHeight="1"/>
    <ns0:row r="887" ht="15.75" customHeight="1"/>
    <ns0:row r="888" ht="15.75" customHeight="1"/>
    <ns0:row r="889" ht="15.75" customHeight="1"/>
    <ns0:row r="890" ht="15.75" customHeight="1"/>
    <ns0:row r="891" ht="15.75" customHeight="1"/>
    <ns0:row r="892" ht="15.75" customHeight="1"/>
    <ns0:row r="893" ht="15.75" customHeight="1"/>
    <ns0:row r="894" ht="15.75" customHeight="1"/>
    <ns0:row r="895" ht="15.75" customHeight="1"/>
    <ns0:row r="896" ht="15.75" customHeight="1"/>
    <ns0:row r="897" ht="15.75" customHeight="1"/>
    <ns0:row r="898" ht="15.75" customHeight="1"/>
    <ns0:row r="899" ht="15.75" customHeight="1"/>
    <ns0:row r="900" ht="15.75" customHeight="1"/>
    <ns0:row r="901" ht="15.75" customHeight="1"/>
    <ns0:row r="902" ht="15.75" customHeight="1"/>
    <ns0:row r="903" ht="15.75" customHeight="1"/>
    <ns0:row r="904" ht="15.75" customHeight="1"/>
    <ns0:row r="905" ht="15.75" customHeight="1"/>
    <ns0:row r="906" ht="15.75" customHeight="1"/>
    <ns0:row r="907" ht="15.75" customHeight="1"/>
    <ns0:row r="908" ht="15.75" customHeight="1"/>
    <ns0:row r="909" ht="15.75" customHeight="1"/>
    <ns0:row r="910" ht="15.75" customHeight="1"/>
    <ns0:row r="911" ht="15.75" customHeight="1"/>
    <ns0:row r="912" ht="15.75" customHeight="1"/>
    <ns0:row r="913" ht="15.75" customHeight="1"/>
    <ns0:row r="914" ht="15.75" customHeight="1"/>
    <ns0:row r="915" ht="15.75" customHeight="1"/>
    <ns0:row r="916" ht="15.75" customHeight="1"/>
    <ns0:row r="917" ht="15.75" customHeight="1"/>
    <ns0:row r="918" ht="15.75" customHeight="1"/>
    <ns0:row r="919" ht="15.75" customHeight="1"/>
    <ns0:row r="920" ht="15.75" customHeight="1"/>
    <ns0:row r="921" ht="15.75" customHeight="1"/>
    <ns0:row r="922" ht="15.75" customHeight="1"/>
    <ns0:row r="923" ht="15.75" customHeight="1"/>
    <ns0:row r="924" ht="15.75" customHeight="1"/>
    <ns0:row r="925" ht="15.75" customHeight="1"/>
    <ns0:row r="926" ht="15.75" customHeight="1"/>
    <ns0:row r="927" ht="15.75" customHeight="1"/>
    <ns0:row r="928" ht="15.75" customHeight="1"/>
    <ns0:row r="929" ht="15.75" customHeight="1"/>
    <ns0:row r="930" ht="15.75" customHeight="1"/>
    <ns0:row r="931" ht="15.75" customHeight="1"/>
    <ns0:row r="932" ht="15.75" customHeight="1"/>
    <ns0:row r="933" ht="15.75" customHeight="1"/>
    <ns0:row r="934" ht="15.75" customHeight="1"/>
    <ns0:row r="935" ht="15.75" customHeight="1"/>
    <ns0:row r="936" ht="15.75" customHeight="1"/>
    <ns0:row r="937" ht="15.75" customHeight="1"/>
    <ns0:row r="938" ht="15.75" customHeight="1"/>
    <ns0:row r="939" ht="15.75" customHeight="1"/>
    <ns0:row r="940" ht="15.75" customHeight="1"/>
    <ns0:row r="941" ht="15.75" customHeight="1"/>
    <ns0:row r="942" ht="15.75" customHeight="1"/>
    <ns0:row r="943" ht="15.75" customHeight="1"/>
    <ns0:row r="944" ht="15.75" customHeight="1"/>
    <ns0:row r="945" ht="15.75" customHeight="1"/>
    <ns0:row r="946" ht="15.75" customHeight="1"/>
    <ns0:row r="947" ht="15.75" customHeight="1"/>
    <ns0:row r="948" ht="15.75" customHeight="1"/>
    <ns0:row r="949" ht="15.75" customHeight="1"/>
    <ns0:row r="950" ht="15.75" customHeight="1"/>
    <ns0:row r="951" ht="15.75" customHeight="1"/>
    <ns0:row r="952" ht="15.75" customHeight="1"/>
    <ns0:row r="953" ht="15.75" customHeight="1"/>
    <ns0:row r="954" ht="15.75" customHeight="1"/>
    <ns0:row r="955" ht="15.75" customHeight="1"/>
    <ns0:row r="956" ht="15.75" customHeight="1"/>
    <ns0:row r="957" ht="15.75" customHeight="1"/>
    <ns0:row r="958" ht="15.75" customHeight="1"/>
    <ns0:row r="959" ht="15.75" customHeight="1"/>
    <ns0:row r="960" ht="15.75" customHeight="1"/>
    <ns0:row r="961" ht="15.75" customHeight="1"/>
    <ns0:row r="962" ht="15.75" customHeight="1"/>
    <ns0:row r="963" ht="15.75" customHeight="1"/>
    <ns0:row r="964" ht="15.75" customHeight="1"/>
    <ns0:row r="965" ht="15.75" customHeight="1"/>
    <ns0:row r="966" ht="15.75" customHeight="1"/>
    <ns0:row r="967" ht="15.75" customHeight="1"/>
    <ns0:row r="968" ht="15.75" customHeight="1"/>
    <ns0:row r="969" ht="15.75" customHeight="1"/>
    <ns0:row r="970" ht="15.75" customHeight="1"/>
    <ns0:row r="971" ht="15.75" customHeight="1"/>
    <ns0:row r="972" ht="15.75" customHeight="1"/>
    <ns0:row r="973" ht="15.75" customHeight="1"/>
    <ns0:row r="974" ht="15.75" customHeight="1"/>
    <ns0:row r="975" ht="15.75" customHeight="1"/>
    <ns0:row r="976" ht="15.75" customHeight="1"/>
    <ns0:row r="977" ht="15.75" customHeight="1"/>
    <ns0:row r="978" ht="15.75" customHeight="1"/>
    <ns0:row r="979" ht="15.75" customHeight="1"/>
    <ns0:row r="980" ht="15.75" customHeight="1"/>
    <ns0:row r="981" ht="15.75" customHeight="1"/>
    <ns0:row r="982" ht="15.75" customHeight="1"/>
    <ns0:row r="983" ht="15.75" customHeight="1"/>
    <ns0:row r="984" ht="15.75" customHeight="1"/>
    <ns0:row r="985" ht="15.75" customHeight="1"/>
    <ns0:row r="986" ht="15.75" customHeight="1"/>
    <ns0:row r="987" ht="15.75" customHeight="1"/>
    <ns0:row r="988" ht="15.75" customHeight="1"/>
    <ns0:row r="989" ht="15.75" customHeight="1"/>
    <ns0:row r="990" ht="15.75" customHeight="1"/>
    <ns0:row r="991" ht="15.75" customHeight="1"/>
    <ns0:row r="992" ht="15.75" customHeight="1"/>
    <ns0:row r="993" ht="15.75" customHeight="1"/>
    <ns0:row r="994" ht="15.75" customHeight="1"/>
    <ns0:row r="995" ht="15.75" customHeight="1"/>
    <ns0:row r="996" ht="15.75" customHeight="1"/>
    <ns0:row r="997" ht="15.75" customHeight="1"/>
    <ns0:row r="998" ht="15.75" customHeight="1"/>
    <ns0:row r="999" ht="15.75" customHeight="1"/>
    <ns0:row r="1000" ht="15.75" customHeight="1"/>
  </ns0:sheetData>
  <ns0:conditionalFormatting sqref="A2:G27">
    <ns0:cfRule type="expression" dxfId="0" priority="1">
      <ns0:formula>$F2="Done"</ns0:formula>
    </ns0:cfRule>
  </ns0:conditionalFormatting>
  <ns0:conditionalFormatting sqref="A2:G27">
    <ns0:cfRule type="expression" dxfId="1" priority="2">
      <ns0:formula>$F2="In Progress"</ns0:formula>
    </ns0:cfRule>
  </ns0:conditionalFormatting>
  <ns0:dataValidations>
    <ns0:dataValidation type="list" allowBlank="1" sqref="F2:F27">
      <ns0:formula1>"Not Started,In Progress,Done"</ns0:formula1>
    </ns0:dataValidation>
  </ns0:dataValidations>
  <ns0:printOptions/>
  <ns0:pageMargins bottom="0.5" footer="0.0" header="0.0" left="0.35" right="0.35" top="0.5"/>
  <ns0:pageSetup fitToHeight="0" orientation="landscape"/>
  <ns0:drawing ns1:id="rId1"/>
</ns0: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