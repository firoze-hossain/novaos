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<sst xmlns="http://schemas.openxmlformats.org/spreadsheetml/2006/main" count="422" uniqueCount="223">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</sst>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17</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0.6538461538461539</v>
      </c>
      <c r="E7" s="16" t="s">
        <v>186</v>
      </c>
      <c r="F7" s="20">
        <f>F5/F6</f>
        <v>0</v>
      </c>
    </row>
    <row r="9">
      <c r="A9" s="21" t="s">
        <v>200</v>
      </c>
    </row>
    <row r="10">
      <c r="A10" s="16" t="s">
        <v>27</v>
      </c>
      <c r="B10" s="17">
        <f t="shared" ref="B10:B11" si="1">B5+D5+F5</f>
        <v>43</v>
      </c>
    </row>
    <row r="11">
      <c r="A11" s="16" t="s">
        <v>168</v>
      </c>
      <c r="B11" s="17">
        <f t="shared" si="1"/>
        <v>56</v>
      </c>
    </row>
    <row r="12">
      <c r="A12" s="16" t="s">
        <v>186</v>
      </c>
      <c r="B12" s="22">
        <f>B10/B11</f>
        <v>0.7678571428571429</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0</v>
      </c>
      <c r="C29" s="17">
        <f>COUNTIF('Interface Track'!A2:A1000,"Month 5 - Power-user &amp; system apps")</f>
        <v>4</v>
      </c>
      <c r="D29" s="24">
        <f t="shared" si="3"/>
        <v>0</v>
      </c>
    </row>
    <row r="30" ht="15.75" customHeight="1">
      <c r="A30" s="17" t="s">
        <v>147</v>
      </c>
      <c r="B30" s="17">
        <f>COUNTIFS('Interface Track'!A2:A1000,"Month 6 - First impressions",'Interface Track'!F2:F1000,"Done")</f>
        <v>0</v>
      </c>
      <c r="C30" s="17">
        <f>COUNTIF('Interface Track'!A2:A1000,"Month 6 - First impressions")</f>
        <v>5</v>
      </c>
      <c r="D30" s="24">
        <f t="shared" si="3"/>
        <v>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24</v>
      </c>
      <c r="D34" s="27">
        <f t="shared" ref="D34:D36" si="4">B34+C34</f>
        <v>39</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26</v>
      </c>
      <c r="G19" s="13"/>
    </row>
    <row r="20" ht="60.0" customHeight="1">
      <c r="A20" s="5" t="s">
        <v>124</v>
      </c>
      <c r="B20" s="5" t="s">
        <v>131</v>
      </c>
      <c r="C20" s="5" t="s">
        <v>132</v>
      </c>
      <c r="D20" s="5" t="s">
        <v>133</v>
      </c>
      <c r="E20" s="10" t="s">
        <v>23</v>
      </c>
      <c r="F20" s="11" t="s">
        <v>26</v>
      </c>
      <c r="G20" s="13"/>
    </row>
    <row r="21" ht="60.0" customHeight="1">
      <c r="A21" s="5" t="s">
        <v>124</v>
      </c>
      <c r="B21" s="5" t="s">
        <v>137</v>
      </c>
      <c r="C21" s="5" t="s">
        <v>139</v>
      </c>
      <c r="D21" s="5" t="s">
        <v>140</v>
      </c>
      <c r="E21" s="10" t="s">
        <v>23</v>
      </c>
      <c r="F21" s="11" t="s">
        <v>26</v>
      </c>
      <c r="G21" s="13"/>
    </row>
    <row r="22" ht="60.0" customHeight="1">
      <c r="A22" s="5" t="s">
        <v>124</v>
      </c>
      <c r="B22" s="5" t="s">
        <v>142</v>
      </c>
      <c r="C22" s="5" t="s">
        <v>144</v>
      </c>
      <c r="D22" s="5" t="s">
        <v>146</v>
      </c>
      <c r="E22" s="10" t="s">
        <v>23</v>
      </c>
      <c r="F22" s="11" t="s">
        <v>26</v>
      </c>
      <c r="G22" s="13"/>
    </row>
    <row r="23" ht="60.0" customHeight="1">
      <c r="A23" s="5" t="s">
        <v>147</v>
      </c>
      <c r="B23" s="5" t="s">
        <v>148</v>
      </c>
      <c r="C23" s="5" t="s">
        <v>149</v>
      </c>
      <c r="D23" s="5" t="s">
        <v>150</v>
      </c>
      <c r="E23" s="10" t="s">
        <v>23</v>
      </c>
      <c r="F23" s="11" t="s">
        <v>26</v>
      </c>
      <c r="G23" s="13"/>
    </row>
    <row r="24" ht="60.0" customHeight="1">
      <c r="A24" s="5" t="s">
        <v>147</v>
      </c>
      <c r="B24" s="5" t="s">
        <v>152</v>
      </c>
      <c r="C24" s="5" t="s">
        <v>154</v>
      </c>
      <c r="D24" s="5" t="s">
        <v>156</v>
      </c>
      <c r="E24" s="10" t="s">
        <v>23</v>
      </c>
      <c r="F24" s="11" t="s">
        <v>26</v>
      </c>
      <c r="G24" s="13"/>
    </row>
    <row r="25" ht="60.0" customHeight="1">
      <c r="A25" s="5" t="s">
        <v>147</v>
      </c>
      <c r="B25" s="5" t="s">
        <v>157</v>
      </c>
      <c r="C25" s="5" t="s">
        <v>158</v>
      </c>
      <c r="D25" s="5" t="s">
        <v>160</v>
      </c>
      <c r="E25" s="10" t="s">
        <v>23</v>
      </c>
      <c r="F25" s="11" t="s">
        <v>26</v>
      </c>
      <c r="G25" s="13"/>
    </row>
    <row r="26" ht="60.0" customHeight="1">
      <c r="A26" s="5" t="s">
        <v>147</v>
      </c>
      <c r="B26" s="5" t="s">
        <v>163</v>
      </c>
      <c r="C26" s="5" t="s">
        <v>164</v>
      </c>
      <c r="D26" s="5" t="s">
        <v>165</v>
      </c>
      <c r="E26" s="10" t="s">
        <v>23</v>
      </c>
      <c r="F26" s="11" t="s">
        <v>26</v>
      </c>
      <c r="G26" s="13"/>
    </row>
    <row r="27" ht="60.0" customHeight="1">
      <c r="A27" s="5" t="s">
        <v>147</v>
      </c>
      <c r="B27" s="5" t="s">
        <v>171</v>
      </c>
      <c r="C27" s="5" t="s">
        <v>172</v>
      </c>
      <c r="D27" s="5" t="s">
        <v>173</v>
      </c>
      <c r="E27" s="7" t="s">
        <v>22</v>
      </c>
      <c r="F27" s="11" t="s">
        <v>26</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