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<sst xmlns="http://schemas.openxmlformats.org/spreadsheetml/2006/main" count="417" uniqueCount="218">
  <si>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</si>
  <si>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</si>
  <si>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</si>
  <si>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</si>
  <si>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</si>
  <si>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</si>
  <si>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</si>
  <si>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</si>
  <si>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</si>
  <si>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</si>
  <si>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</si>
  <si>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</si>
  <si>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</si>
  <si>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</si>
  <si>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</si>
  <si>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</si>
  <si>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</si>
  <si>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</si>
  <si>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</si>
  <si>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</si>
  <si>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</si>
  <si>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</si>
  <si>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</si>
  <si>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</si>
  <si>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</si>
  <si>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</si>
  <si>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</si>
  <si>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</si>
  <si>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</si>
  <si>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</si>
  <si>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</si>
  <si>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</si>
  <si>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</si>
  <si>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</si>
  <si>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</si>
  <si>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</si>
  <si>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</si>
  <si>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</si>
  <si>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</si>
  <si>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</si>
  <si>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</si>
  <si>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</si>
  <si>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</si>
  <si>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</si>
  <si>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</si>
  <si>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</si>
  <si>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</si>
  <si>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</si>
  <si>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</si>
  <si>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</si>
  <si>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</si>
  <si>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</si>
  <si>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</si>
  <si>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</si>
  <si>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</si>
  <si>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</si>
  <si>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</si>
  <si>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</si>
  <si>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</si>
  <si>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</si>
  <si>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</si>
  <si>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</si>
  <si>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</si>
  <si>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</si>
  <si>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</si>
  <si>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</si>
  <si>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</si>
  <si>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</si>
  <si>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</si>
  <si>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</si>
  <si>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</si>
  <si>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</si>
  <si>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</si>
  <si>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</si>
  <si>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</si>
  <si>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</si>
  <si>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</si>
  <si>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</si>
  <si>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</si>
  <si>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</si>
  <si>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</si>
  <si>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</si>
  <si>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</si>
  <si>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</si>
  <si>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</si>
  <si>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</si>
  <si>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</si>
  <si>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</si>
  <si>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</si>
  <si>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</si>
  <si>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</si>
  <si>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</si>
  <si>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</si>
  <si>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</si>
  <si>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</si>
  <si>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</si>
  <si>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</si>
  <si>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</si>
  <si>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</si>
  <si>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</si>
  <si>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</si>
  <si>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</si>
  <si>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</si>
  <si>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</si>
  <si>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</si>
  <si>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</si>
  <si>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</si>
  <si>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</si>
  <si>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</si>
  <si>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</si>
  <si>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</si>
  <si>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</si>
  <si>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</si>
  <si>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</si>
  <si>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</si>
  <si>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</si>
  <si>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</si>
  <si>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</si>
  <si>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</si>
  <si>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</si>
  <si>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</si>
  <si>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</si>
  <si>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</si>
  <si>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</si>
  <si>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</si>
  <si>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</si>
  <si>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</si>
  <si>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</si>
  <si>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</si>
  <si>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</si>
  <si>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</si>
  <si>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</si>
  <si>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</si>
  <si>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</si>
  <si>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</si>
  <si>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</si>
  <si>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</si>
  <si>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</si>
  <si>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</si>
  <si>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</si>
  <si>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</si>
  <si>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</si>
  <si>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</si>
  <si>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</si>
  <si>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</si>
  <si>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</si>
  <si>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</si>
  <si>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</si>
  <si>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</si>
  <si>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</si>
  <si>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</si>
  <si>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</si>
  <si>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</si>
  <si>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</si>
  <si>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</si>
  <si>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</si>
  <si>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</si>
  <si>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</si>
  <si>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</si>
  <si>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</si>
  <si>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</si>
  <si>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</si>
  <si>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</si>
  <si>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</si>
  <si>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</si>
  <si>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</si>
  <si>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</si>
  <si>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</si>
  <si>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</si>
  <si>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</si>
  <si>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</si>
  <si>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</si>
  <si>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</si>
  <si>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</si>
  <si>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</si>
  <si>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</si>
  <si>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</si>
  <si>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</si>
  <si>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</si>
  <si>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</si>
  <si>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</si>
  <si>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</si>
  <si>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</si>
  <si>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</si>
  <si>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</si>
  <si>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</si>
  <si>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</si>
  <si>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</si>
  <si>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</si>
  <si>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</si>
  <si>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</si>
  <si>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</si>
  <si>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</si>
  <si>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</si>
  <si>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</si>
  <si>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</si>
  <si>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</si>
  <si>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</si>
  <si>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</si>
  <si>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</si>
  <si>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</si>
  <si>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</si>
  <si>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</si>
  <si>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</si>
  <si>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</si>
  <si>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</si>
  <si>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</si>
  <si>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</si>
  <si>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</si>
  <si>
    <t>New no_std font module (userland/ui-rs/src/font.rs) with multiple sizes (8px Small, 16px Regular, 24px Large, scalable Vector), proportional &amp; monospace metrics, subpixel and 3x3 supersampled area antialiasing, analytical vector stroke rasterizer. Called from wm-rs compositor and UI widgets.</t>
  </si>
  <si>
    <t>New multi-shape cursor module (userland/ui-rs/src/cursor.rs) supporting 10 shapes (Arrow, Pointer, I-Beam, Move, Resize NS/EW/NWSE/NESW, Wait, Crosshair) with 4 themes (Classic, ModernDark, ModernLight, Amber). Redesigned window chrome in userland/wm-rs/wm.rs with titlebar elevation/sheen, app icons, and control pills (Close, Maximize, Minimize).</t>
  </si>
  <si>
    <t>Persistent top-of-screen menu bar across the display (userland/ui-rs/src/menu.rs, userland/wm-rs/wm.rs). Context-aware active window menus (Terminal, Files, Editor, System), interactive dropdown overlays with pointer cursor, action dispatch via MenuClickEvent back to focused app.</t>
  </si>
  <si>
    <t>Desktop dock &amp; taskbar system (userland/ui-rs/src/dock.rs, userland/wm-rs/wm.rs). Supports pinned launchable apps (Terminal, Files, Editor, System, Settings), active window switching, minimize-to-dock and restore, running indicator pips, launch-on-click, and dynamic pinning/unpinning.</t>
  </si>
  <si>
    <t>NovaOS Graphical File Manager (userland/files-rs/files.rs, ffi.rs). Ring-3 application featuring live VFS directory listing (SYS_LIST_FILES), metadata classification (Document, Config, Executable, Package, Data), mouse selection, text preview modal (SYS_OPEN/SYS_READ), file move and delete operations (SYS_WRITE_FILE, SYS_DELETE_FILE), dual view modes (List and Grid), toolbar vector action buttons, standalone framebuffer rendering, and Window 1 compositor client view.</t>
  </si>
  <si>
    <t>NovaOS Graphical Settings App (userland/settings-rs/settings.rs, ffi.rs). Modular plugin-panel architecture supporting System &amp; Identity (SYSTEM.CFG), Accounts &amp; Users (USERS.CFG), Services &amp; Startup (SERVICES.CFG), Network &amp; Firewall (FIREWALL.CFG), and Display &amp; Themes. Features interactive sidebar navigation, field editing, binary/text serialization, BufferSurface32 rendering, and Window 4 compositor client view.</t>
  </si>
  <si>
    <t>NovaOS In-Window Terminal App (userland/term-rs/term.rs, ffi.rs). Full virtual terminal emulator running the interactive shell and command dispatcher (help, ls, cat, echo, clear, date, uname, whoami, pwd, history, run) in a real resizable window. Features ANSI 16-color SGR and escape parsing, cell-aligned cursor tracking, line editing with command history (Up/Down) and Tab completion, dynamic column/row rewrapping, scrollback buffer, zero per-pixel syscall BufferSurface32 rendering, and Window 0 compositor client view.</t>
  </si>
  <si>
    <t>NovaOS Graphical Text Editor App (userland/edit-rs/editor.rs, ffi.rs). Multi-line text buffer model with line insertion, line splitting, backspace line merging, cursor navigation, and boundary clamping. Features VFS file I/O operations (SYS_OPEN, SYS_READ, SYS_CLOSE, SYS_WRITE_FILE), advanced multi-size typography showcase (Mono 8x16, Sans 8x16, Small 8x8, Large 12x24), line numbers gutter with active line accentuation, lightweight code syntax highlighting, top interactive toolbar ([New], [Open], [Save], [Cut], [Copy], [Paste], [Font: ...]), bottom status bar with statistics, zero per-pixel syscall BufferSurface32 rendering, and Window 2 compositor client view.</t>
  </si>
  <si>
    <t>NovaOS Graphical Software Store &amp; App Launcher (userland/store-rs/store.rs, crypto.rs, ffi.rs, STORE.ELF). Pure #![no_std] graphical front-end for the package system. Features package manifest parsing, HMAC-SHA256 cryptographic signature verification (RFC 2104/6234), install database management (INSTALL.DB), package installation and removal, direct application launching via SYS_EXEC, in-kernel HTTP package repository telemetry &amp; controls via SYS_PKGREPO_CTL (status, port 8080, requests, packages served), category filtering (Productivity, Games, Utilities, System), search query matching, package inspector panel, zero per-pixel syscall BufferSurface32 rendering, and Window 3 compositor client view.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</si>
</sst>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3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12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0.46153846153846156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38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0.6785714285714286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36</v>
      </c>
      <c r="C17" s="17">
        <f>COUNTIF('Kernel Track'!A2:A1000,"Month 2 - Graphics foundation")</f>
        <v>20</v>
      </c>
      <c r="D17" s="24">
        <f t="shared" si="2"/>
        <v>0.6428571428571429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3</v>
      </c>
      <c r="C26" s="17">
        <f>COUNTIF('Interface Track'!A2:A1000,"Month 2 - Compositor")</f>
        <v>3</v>
      </c>
      <c r="D26" s="24">
        <f t="shared" si="3"/>
        <v>1.0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7</v>
      </c>
      <c r="C27" s="17">
        <f>COUNTIF('Interface Track'!A2:A1000,"Month 3 - Core desktop apps")</f>
        <v>8</v>
      </c>
      <c r="D27" s="24">
        <f t="shared" si="3"/>
        <v>0.875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r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2" t="s">
        <v>27</v>
      </c>
      <c r="G5" s="13" t="s">
        <v>209</v>
      </c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2" t="s">
        <v>27</v>
      </c>
      <c r="G6" s="13" t="s">
        <v>210</v>
      </c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27</v>
      </c>
      <c r="G7" s="13" t="s">
        <v>211</v>
      </c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27</v>
      </c>
      <c r="G8" s="13" t="s">
        <v>212</v>
      </c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2" t="s">
        <v>27</v>
      </c>
      <c r="G9" s="13" t="s">
        <v>213</v>
      </c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2" t="s">
        <v>27</v>
      </c>
      <c r="G10" s="13" t="s">
        <v>214</v>
      </c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2" t="s">
        <v>27</v>
      </c>
      <c r="G11" s="13" t="s">
        <v>215</v>
      </c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2" t="s">
        <v>27</v>
      </c>
      <c r="G12" s="13" t="s">
        <v>216</v>
      </c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27</v>
      </c>
      <c r="G13" s="13" t="s">
        <v>217</v>
      </c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