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<sst xmlns="http://schemas.openxmlformats.org/spreadsheetml/2006/main" count="415" uniqueCount="216">
  <si>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</si>
  <si>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</si>
  <si>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</si>
  <si>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</si>
  <si>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</si>
  <si>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</si>
  <si>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</si>
  <si>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</si>
  <si>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</si>
  <si>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</si>
  <si>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</si>
  <si>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</si>
  <si>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</si>
  <si>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</si>
  <si>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</si>
  <si>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</si>
  <si>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</si>
  <si>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</si>
  <si>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</si>
  <si>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</si>
  <si>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</si>
  <si>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</si>
  <si>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</si>
  <si>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</si>
  <si>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</si>
  <si>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</si>
  <si>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</si>
  <si>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</si>
  <si>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</si>
  <si>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</si>
  <si>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</si>
  <si>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</si>
  <si>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</si>
  <si>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</si>
  <si>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</si>
  <si>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</si>
  <si>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</si>
  <si>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</si>
  <si>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</si>
  <si>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</si>
  <si>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</si>
  <si>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</si>
  <si>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</si>
  <si>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</si>
  <si>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</si>
  <si>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</si>
  <si>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</si>
  <si>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</si>
  <si>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</si>
  <si>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</si>
  <si>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</si>
  <si>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</si>
  <si>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</si>
  <si>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</si>
  <si>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</si>
  <si>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</si>
  <si>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</si>
  <si>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</si>
  <si>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</si>
  <si>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</si>
  <si>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</si>
  <si>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</si>
  <si>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</si>
  <si>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</si>
  <si>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</si>
  <si>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</si>
  <si>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</si>
  <si>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</si>
  <si>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</si>
  <si>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</si>
  <si>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</si>
  <si>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</si>
  <si>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</si>
  <si>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</si>
  <si>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</si>
  <si>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</si>
  <si>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</si>
  <si>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</si>
  <si>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</si>
  <si>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</si>
  <si>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</si>
  <si>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</si>
  <si>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</si>
  <si>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</si>
  <si>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</si>
  <si>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</si>
  <si>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</si>
  <si>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</si>
  <si>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</si>
  <si>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</si>
  <si>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</si>
  <si>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</si>
  <si>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</si>
  <si>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</si>
  <si>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</si>
  <si>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</si>
  <si>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</si>
  <si>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</si>
  <si>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</si>
  <si>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</si>
  <si>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</si>
  <si>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</si>
  <si>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</si>
  <si>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</si>
  <si>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</si>
  <si>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</si>
  <si>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</si>
  <si>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</si>
  <si>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</si>
  <si>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</si>
  <si>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</si>
  <si>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</si>
  <si>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</si>
  <si>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</si>
  <si>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</si>
  <si>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</si>
  <si>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</si>
  <si>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</si>
  <si>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</si>
  <si>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</si>
  <si>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</si>
  <si>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</si>
  <si>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</si>
  <si>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</si>
  <si>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</si>
  <si>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</si>
  <si>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</si>
  <si>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</si>
  <si>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</si>
  <si>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</si>
  <si>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</si>
  <si>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</si>
  <si>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</si>
  <si>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</si>
  <si>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</si>
  <si>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</si>
  <si>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</si>
  <si>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</si>
  <si>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</si>
  <si>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</si>
  <si>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</si>
  <si>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</si>
  <si>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</si>
  <si>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</si>
  <si>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</si>
  <si>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</si>
  <si>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</si>
  <si>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</si>
  <si>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</si>
  <si>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</si>
  <si>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</si>
  <si>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</si>
  <si>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</si>
  <si>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</si>
  <si>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</si>
  <si>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</si>
  <si>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</si>
  <si>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</si>
  <si>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</si>
  <si>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</si>
  <si>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</si>
  <si>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</si>
  <si>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</si>
  <si>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</si>
  <si>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</si>
  <si>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</si>
  <si>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</si>
  <si>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</si>
  <si>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</si>
  <si>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</si>
  <si>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</si>
  <si>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</si>
  <si>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</si>
  <si>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</si>
  <si>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</si>
  <si>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</si>
  <si>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</si>
  <si>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</si>
  <si>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</si>
  <si>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</si>
  <si>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</si>
  <si>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</si>
  <si>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</si>
  <si>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</si>
  <si>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</si>
  <si>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</si>
  <si>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</si>
  <si>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</si>
  <si>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</si>
  <si>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</si>
  <si>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</si>
  <si>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</si>
  <si>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</si>
  <si>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</si>
  <si>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</si>
  <si>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</si>
  <si>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</si>
  <si>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</si>
  <si>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</si>
  <si>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</si>
  <si>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</si>
  <si>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</si>
  <si>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</si>
  <si>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</si>
  <si>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</si>
  <si>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</si>
  <si>
    <t>userland/ui-rs (libui.rlib): Color/ThemePalette (Dark/Light/HighContrast), 8-pt spacing scale, 5x7 printable ASCII typography, WidgetThemeSpec, Surface/BufferSurface32/8 drawing helpers. Linked into wm-rs.</t>
  </si>
  <si>
    <t>Supervised under novainit as PID 1 via SERVICES.CFG (restart=always, trusted=yes). Delegated can_open_any_file/can_spawn capabilities. exit/logout commands hooked for session respawn.</t>
  </si>
  <si>
    <t>Ported wm-rs to SYS_FB_* framebuffer graphics API. Renders 32-bit XRGB into BufferSurface32 with zero per-pixel syscalls; single-syscall present via SYS_FB_PRESENT. Tested on 1024x768 and 320x200.</t>
  </si>
  <si>
    <t>New no_std font module (userland/ui-rs/src/font.rs) with multiple sizes (8px Small, 16px Regular, 24px Large, scalable Vector), proportional &amp; monospace metrics, subpixel and 3x3 supersampled area antialiasing, analytical vector stroke rasterizer. Called from wm-rs compositor and UI widgets.</t>
  </si>
  <si>
    <t>New multi-shape cursor module (userland/ui-rs/src/cursor.rs) supporting 10 shapes (Arrow, Pointer, I-Beam, Move, Resize NS/EW/NWSE/NESW, Wait, Crosshair) with 4 themes (Classic, ModernDark, ModernLight, Amber). Redesigned window chrome in userland/wm-rs/wm.rs with titlebar elevation/sheen, app icons, and control pills (Close, Maximize, Minimize).</t>
  </si>
  <si>
    <t>Persistent top-of-screen menu bar across the display (userland/ui-rs/src/menu.rs, userland/wm-rs/wm.rs). Context-aware active window menus (Terminal, Files, Editor, System), interactive dropdown overlays with pointer cursor, action dispatch via MenuClickEvent back to focused app.</t>
  </si>
  <si>
    <t>Desktop dock &amp; taskbar system (userland/ui-rs/src/dock.rs, userland/wm-rs/wm.rs). Supports pinned launchable apps (Terminal, Files, Editor, System, Settings), active window switching, minimize-to-dock and restore, running indicator pips, launch-on-click, and dynamic pinning/unpinning.</t>
  </si>
  <si>
    <t>NovaOS Graphical File Manager (userland/files-rs/files.rs, ffi.rs). Ring-3 application featuring live VFS directory listing (SYS_LIST_FILES), metadata classification (Document, Config, Executable, Package, Data), mouse selection, text preview modal (SYS_OPEN/SYS_READ), file move and delete operations (SYS_WRITE_FILE, SYS_DELETE_FILE), dual view modes (List and Grid), toolbar vector action buttons, standalone framebuffer rendering, and Window 1 compositor client view.</t>
  </si>
  <si>
    <t>NovaOS Graphical Settings App (userland/settings-rs/settings.rs, ffi.rs). Modular plugin-panel architecture supporting System &amp; Identity (SYSTEM.CFG), Accounts &amp; Users (USERS.CFG), Services &amp; Startup (SERVICES.CFG), Network &amp; Firewall (FIREWALL.CFG), and Display &amp; Themes. Features interactive sidebar navigation, field editing, binary/text serialization, BufferSurface32 rendering, and Window 4 compositor client view.</t>
  </si>
  <si>
    <t>NovaOS In-Window Terminal App (userland/term-rs/term.rs, ffi.rs). Full virtual terminal emulator running the interactive shell and command dispatcher (help, ls, cat, echo, clear, date, uname, whoami, pwd, history, run) in a real resizable window. Features ANSI 16-color SGR and escape parsing, cell-aligned cursor tracking, line editing with command history (Up/Down) and Tab completion, dynamic column/row rewrapping, scrollback buffer, zero per-pixel syscall BufferSurface32 rendering, and Window 0 compositor client view.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</si>
</sst>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3</v>
      </c>
      <c r="E4" s="15" t="s">
        <v>41</v>
      </c>
    </row>
    <row r="5">
      <c r="A5" s="16" t="s">
        <v>27</v>
      </c>
      <c r="B5" s="17">
        <f>COUNTIF('Kernel Track'!F2:F27,"Done")</f>
        <v>26</v>
      </c>
      <c r="C5" s="16" t="s">
        <v>27</v>
      </c>
      <c r="D5" s="17">
        <f>COUNTIF('Interface Track'!F2:F27,"Done")</f>
        <v>9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1.0</v>
      </c>
      <c r="C7" s="16" t="s">
        <v>186</v>
      </c>
      <c r="D7" s="19">
        <f>D5/D6</f>
        <v>0.34615384615384615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35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0.625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36</v>
      </c>
      <c r="C17" s="17">
        <f>COUNTIF('Kernel Track'!A2:A1000,"Month 2 - Graphics foundation")</f>
        <v>20</v>
      </c>
      <c r="D17" s="24">
        <f t="shared" si="2"/>
        <v>0.6428571428571429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4</v>
      </c>
      <c r="C21" s="17">
        <f>COUNTIF('Kernel Track'!A2:A1000,"Month 6 - Release hardening")</f>
        <v>4</v>
      </c>
      <c r="D21" s="24">
        <f t="shared" si="2"/>
        <v>1.0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2</v>
      </c>
      <c r="C25" s="17">
        <f>COUNTIF('Interface Track'!A2:A1000,"Month 1 - Prep")</f>
        <v>2</v>
      </c>
      <c r="D25" s="24">
        <f t="shared" ref="D25:D30" si="3">IFERROR(B25/C25,0)</f>
        <v>1.0</v>
      </c>
    </row>
    <row r="26" ht="15.75" customHeight="1">
      <c r="A26" s="17" t="s">
        <v>34</v>
      </c>
      <c r="B26" s="17">
        <f>COUNTIFS('Interface Track'!A2:A1000,"Month 2 - Compositor",'Interface Track'!F2:F1000,"Done")</f>
        <v>3</v>
      </c>
      <c r="C26" s="17">
        <f>COUNTIF('Interface Track'!A2:A1000,"Month 2 - Compositor")</f>
        <v>3</v>
      </c>
      <c r="D26" s="24">
        <f t="shared" si="3"/>
        <v>1.0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4</v>
      </c>
      <c r="C27" s="17">
        <f>COUNTIF('Interface Track'!A2:A1000,"Month 3 - Core desktop apps")</f>
        <v>8</v>
      </c>
      <c r="D27" s="24">
        <f t="shared" si="3"/>
        <v>0.5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2" t="s">
        <v>27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2" t="s">
        <v>27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2" t="s">
        <v>27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2" t="s">
        <v>27</v>
      </c>
      <c r="G2" s="13" t="s">
        <v>206</v>
      </c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2" t="s">
        <v>27</v>
      </c>
      <c r="G3" s="13" t="s">
        <v>207</v>
      </c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2" t="s">
        <v>27</v>
      </c>
      <c r="G4" s="13" t="s">
        <v>208</v>
      </c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2" t="s">
        <v>27</v>
      </c>
      <c r="G5" s="13" t="s">
        <v>209</v>
      </c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2" t="s">
        <v>27</v>
      </c>
      <c r="G6" s="13" t="s">
        <v>210</v>
      </c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27</v>
      </c>
      <c r="G7" s="13" t="s">
        <v>211</v>
      </c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27</v>
      </c>
      <c r="G8" s="13" t="s">
        <v>212</v>
      </c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2" t="s">
        <v>27</v>
      </c>
      <c r="G9" s="13" t="s">
        <v>213</v>
      </c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2" t="s">
        <v>27</v>
      </c>
      <c r="G10" s="13" t="s">
        <v>214</v>
      </c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2" t="s">
        <v>27</v>
      </c>
      <c r="G11" s="13" t="s">
        <v>215</v>
      </c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