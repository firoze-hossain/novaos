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<sst xmlns="http://schemas.openxmlformats.org/spreadsheetml/2006/main" count="228" uniqueCount="228">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</sst>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22</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0.8461538461538461</v>
      </c>
      <c r="E7" s="16" t="s">
        <v>186</v>
      </c>
      <c r="F7" s="20">
        <f>F5/F6</f>
        <v>0</v>
      </c>
    </row>
    <row r="9">
      <c r="A9" s="21" t="s">
        <v>200</v>
      </c>
    </row>
    <row r="10">
      <c r="A10" s="16" t="s">
        <v>27</v>
      </c>
      <c r="B10" s="17">
        <f t="shared" ref="B10:B11" si="1">B5+D5+F5</f>
        <v>48</v>
      </c>
    </row>
    <row r="11">
      <c r="A11" s="16" t="s">
        <v>168</v>
      </c>
      <c r="B11" s="17">
        <f t="shared" si="1"/>
        <v>56</v>
      </c>
    </row>
    <row r="12">
      <c r="A12" s="16" t="s">
        <v>186</v>
      </c>
      <c r="B12" s="22">
        <f>B10/B11</f>
        <v>0.8571428571428571</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1</v>
      </c>
      <c r="C30" s="17">
        <f>COUNTIF('Interface Track'!A2:A1000,"Month 6 - First impressions")</f>
        <v>5</v>
      </c>
      <c r="D30" s="24">
        <f t="shared" si="3"/>
        <v>0.2</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