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<sst xmlns="http://schemas.openxmlformats.org/spreadsheetml/2006/main" count="226" uniqueCount="226">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</sst>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20</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0.7692307692307693</v>
      </c>
      <c r="E7" s="16" t="s">
        <v>186</v>
      </c>
      <c r="F7" s="20">
        <f>F5/F6</f>
        <v>0</v>
      </c>
    </row>
    <row r="9">
      <c r="A9" s="21" t="s">
        <v>200</v>
      </c>
    </row>
    <row r="10">
      <c r="A10" s="16" t="s">
        <v>27</v>
      </c>
      <c r="B10" s="17">
        <f t="shared" ref="B10:B11" si="1">B5+D5+F5</f>
        <v>46</v>
      </c>
    </row>
    <row r="11">
      <c r="A11" s="16" t="s">
        <v>168</v>
      </c>
      <c r="B11" s="17">
        <f t="shared" si="1"/>
        <v>56</v>
      </c>
    </row>
    <row r="12">
      <c r="A12" s="16" t="s">
        <v>186</v>
      </c>
      <c r="B12" s="22">
        <f>B10/B11</f>
        <v>0.8214285714285714</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3</v>
      </c>
      <c r="C29" s="17">
        <f>COUNTIF('Interface Track'!A2:A1000,"Month 5 - Power-user &amp; system apps")</f>
        <v>4</v>
      </c>
      <c r="D29" s="24">
        <f t="shared" si="3"/>
        <v>0.75</v>
      </c>
    </row>
    <row r="30" ht="15.75" customHeight="1">
      <c r="A30" s="17" t="s">
        <v>147</v>
      </c>
      <c r="B30" s="17">
        <f>COUNTIFS('Interface Track'!A2:A1000,"Month 6 - First impressions",'Interface Track'!F2:F1000,"Done")</f>
        <v>0</v>
      </c>
      <c r="C30" s="17">
        <f>COUNTIF('Interface Track'!A2:A1000,"Month 6 - First impressions")</f>
        <v>5</v>
      </c>
      <c r="D30" s="24">
        <f t="shared" si="3"/>
        <v>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1" t="s">
        <v>26</v>
      </c>
      <c r="G22" s="13"/>
    </row>
    <row r="23" ht="60.0" customHeight="1">
      <c r="A23" s="5" t="s">
        <v>147</v>
      </c>
      <c r="B23" s="5" t="s">
        <v>148</v>
      </c>
      <c r="C23" s="5" t="s">
        <v>149</v>
      </c>
      <c r="D23" s="5" t="s">
        <v>150</v>
      </c>
      <c r="E23" s="10" t="s">
        <v>23</v>
      </c>
      <c r="F23" s="11" t="s">
        <v>26</v>
      </c>
      <c r="G23" s="13"/>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