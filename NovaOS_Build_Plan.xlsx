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<sst xmlns="http://schemas.openxmlformats.org/spreadsheetml/2006/main" count="405" uniqueCount="206">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</sst>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17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0.6538461538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17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0.3035714286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0</v>
      </c>
      <c r="C20" s="17">
        <f>COUNTIF('Kernel Track'!A2:A1000,"Month 5 - Driver breadth &amp; performance")</f>
        <v>5</v>
      </c>
      <c r="D20" s="24">
        <f t="shared" si="2"/>
        <v>0</v>
      </c>
    </row>
    <row r="21" ht="15.75" customHeight="1">
      <c r="A21" s="17" t="s">
        <v>187</v>
      </c>
      <c r="B21" s="17">
        <f>COUNTIFS('Kernel Track'!A2:A1000,"Month 6 - Release hardening",'Kernel Track'!F2:F1000,"Done")</f>
        <v>0</v>
      </c>
      <c r="C21" s="17">
        <f>COUNTIF('Kernel Track'!A2:A1000,"Month 6 - Release hardening")</f>
        <v>4</v>
      </c>
      <c r="D21" s="24">
        <f t="shared" si="2"/>
        <v>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9" t="s">
        <v>20</v>
      </c>
      <c r="F19" s="11" t="s">
        <v>26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9" t="s">
        <v>20</v>
      </c>
      <c r="F20" s="11" t="s">
        <v>26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9" t="s">
        <v>20</v>
      </c>
      <c r="F21" s="11" t="s">
        <v>26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1" t="s">
        <v>26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1" t="s">
        <v>26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1" t="s">
        <v>26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1" t="s">
        <v>26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1" t="s">
        <v>26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