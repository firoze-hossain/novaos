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ummary" sheetId="1" r:id="rId4"/>
    <sheet state="visible" name="Kernel Track" sheetId="2" r:id="rId5"/>
    <sheet state="visible" name="Interface Track" sheetId="3" r:id="rId6"/>
    <sheet state="visible" name="Release" sheetId="4" r:id="rId7"/>
  </sheets>
  <definedNames/>
  <calcPr/>
  <extLst>
    <ext uri="GoogleSheetsCustomDataVersion2">
      <go:sheetsCustomData xmlns:go="http://customooxmlschemas.google.com/" r:id="rId8" roundtripDataChecksum="2stIfis6TJ73DWBsx7rhLwKsi0df3d2Vq06hGVRuqOE="/>
    </ext>
  </extLst>
</workbook>
</file>

<file path=xl/sharedStrings.xml><?xml version="1.0" encoding="utf-8"?>
<sst xmlns="http://schemas.openxmlformats.org/spreadsheetml/2006/main" count="405" uniqueCount="206">
  <si>
    <t>Month</t>
  </si>
  <si>
    <t>NovaOS - 6-Month Build Plan</t>
  </si>
  <si>
    <t>Task</t>
  </si>
  <si>
    <t>Description (purpose &amp; function)</t>
  </si>
  <si>
    <t>How to integrate into NovaOS</t>
  </si>
  <si>
    <t>Language</t>
  </si>
  <si>
    <t>Status</t>
  </si>
  <si>
    <t>Notes</t>
  </si>
  <si>
    <t>Month 1 - Foundation</t>
  </si>
  <si>
    <t>Cross-cutting - touches both tracks</t>
  </si>
  <si>
    <t>Complete the C library: realloc, fopen/fread, errno, environment variables</t>
  </si>
  <si>
    <t>The standard C functions most real C programs assume exist. Without them, porting any ordinary C program to NovaOS fails immediately on a missing symbol.</t>
  </si>
  <si>
    <t>Kernel and Interface tracked separately. No gaming scope. Every task includes what it's for, how to build it here, and Rust vs C.</t>
  </si>
  <si>
    <t>Month 1 - Prep</t>
  </si>
  <si>
    <t>Extend the automated test suite to cover every feature above as it lands</t>
  </si>
  <si>
    <t>Extend userland/libc/: realloc wraps the existing heap allocator with copy-on-grow; fopen/fread layer over the existing SYS_OPEN/SYS_READ syscalls; errno as a per-process global set by syscall wrappers; environment variables passed via the existing argv-style ELF entry convention.</t>
  </si>
  <si>
    <t>Adds automated boot-time checks for every new feature, keeping the project's proven "verify, don't assume" discipline intact as scope grows.</t>
  </si>
  <si>
    <t>Define the design system: colors, type scale, spacing, and widget conventions every app will follow</t>
  </si>
  <si>
    <t>New assertions in the existing tools/python/test_runner.py, following the same pattern already used for 81 existing checks.</t>
  </si>
  <si>
    <t>The shared visual language every future app follows - without this first, every app built after it looks inconsistent.</t>
  </si>
  <si>
    <t>C</t>
  </si>
  <si>
    <t>A small, shared Rust module (constants + basic drawing helpers) that wm-rs and every future app link against.</t>
  </si>
  <si>
    <t>N/A</t>
  </si>
  <si>
    <t>Rust</t>
  </si>
  <si>
    <t>Kernel Track</t>
  </si>
  <si>
    <t>Interface Track</t>
  </si>
  <si>
    <t>Not Started</t>
  </si>
  <si>
    <t>Done</t>
  </si>
  <si>
    <t>Dynamic linking - a real ld.so-equivalent loader and shared-library format</t>
  </si>
  <si>
    <t>Wire the shell into the service supervisor as a restartable, supervised service</t>
  </si>
  <si>
    <t>Lets multiple programs share one on-disk copy of a library instead of each statically duplicating it - the single biggest blocker to a real, growing app ecosystem.</t>
  </si>
  <si>
    <t>Makes the interactive shell a real, restartable service instead of a hardcoded exec, so it benefits from novainit's own crash recovery.</t>
  </si>
  <si>
    <t>Add the shell to SERVICES.CFG, the same config format novainit-rs already reads.</t>
  </si>
  <si>
    <t>Add PT_DYNAMIC/.dynsym/relocation support to process_exec_internal()'s ELF loader, plus a small runtime loader mapped into every process that resolves symbols at load time.</t>
  </si>
  <si>
    <t>Month 2 - Compositor</t>
  </si>
  <si>
    <t>Port the existing window manager off VGA text mode onto the new framebuffer</t>
  </si>
  <si>
    <t>Redesign fixed-size kernel tables (process table, etc.) to grow dynamically instead of another hardcoded ceiling</t>
  </si>
  <si>
    <t>Moves the existing, already-working window dragging/z-order/taskbar logic onto the new, real-resolution framebuffer.</t>
  </si>
  <si>
    <t>Replaces hardcoded ceilings (like today's process table) with tables that grow as needed, so the kernel doesn't silently run out of room under real load.</t>
  </si>
  <si>
    <t>Update wm-rs's own drawing calls to the new graphics syscalls - the window-management logic itself doesn't change, only the pixel-pushing layer underneath.</t>
  </si>
  <si>
    <t>Swap static C arrays for a kernel-side growable structure behind the same lookup functions already used, so callers don't change.</t>
  </si>
  <si>
    <t>Release</t>
  </si>
  <si>
    <t>Real font rendering - multiple sizes, antialiasing</t>
  </si>
  <si>
    <t>Split the build into Desktop and Server editions from one shared kernel</t>
  </si>
  <si>
    <t>One kernel, two install profiles - the cheapest real way to honestly support both use cases without maintaining two codebases.</t>
  </si>
  <si>
    <t>Replaces the current single-size 5x7 bitmap font with real, readable, multiple-size text - necessary for any app with real UI text.</t>
  </si>
  <si>
    <t>Finish driver-registration migration for the timer, VFS, and network drivers</t>
  </si>
  <si>
    <t>A build-time flag controlling whether the compositor/GUI apps are included in the disk image, following the existing build-disk-image.sh pattern.</t>
  </si>
  <si>
    <t>A new font-rendering module (bitmap atlas at minimum, a simple rasterizer as a stretch goal), called from the compositor and every text-drawing app.</t>
  </si>
  <si>
    <t>Moves the remaining drivers onto the same self-registering table 4 of ~10 drivers already use, so kernel_main() stops needing to know every driver by name.</t>
  </si>
  <si>
    <t>Apply the existing DRIVER_REGISTER() macro/linker-section pattern already proven on PS/2 and UHCI to timer_init/vfs_init/net_init.</t>
  </si>
  <si>
    <t>Security review spanning both tracks together</t>
  </si>
  <si>
    <t>A dedicated, cross-track review of every permission/capability boundary added across all six months, before release.</t>
  </si>
  <si>
    <t>Cursor themes and a redesigned window chrome (title bars, buttons)</t>
  </si>
  <si>
    <t>Manual review plus targeted testing of every new syscall and every new app's own permission use.</t>
  </si>
  <si>
    <t>Visual polish for the cursor and window title bars/buttons - small in scope, but visible in every screenshot of the OS.</t>
  </si>
  <si>
    <t>Extend wm-rs's existing drawing code with new cursor bitmaps and title-bar drawing routines.</t>
  </si>
  <si>
    <t>Wire the service supervisor in as the real, default first process</t>
  </si>
  <si>
    <t>Makes the existing service supervisor the actual first process the kernel starts, instead of the shell, so all future services get real dependency ordering and restart-on-crash from boot.</t>
  </si>
  <si>
    <t>v1.0 release-candidate build and final sign-off checklist</t>
  </si>
  <si>
    <t>Change SYSTEM.CFG's init_path default from SHELL.ELF to NOVAINIT.ELF, and have novainit's own config launch the shell as one of its supervised services.</t>
  </si>
  <si>
    <t>The final build-and-sign-off milestone - every task above complete, every test passing, ready to hand to a real user.</t>
  </si>
  <si>
    <t>Process/release work, not a feature in itself.</t>
  </si>
  <si>
    <t>Month 3 - Core desktop apps</t>
  </si>
  <si>
    <t>Menu bar across the top of the screen</t>
  </si>
  <si>
    <t>The persistent top-of-screen bar showing the active app's own menu - a core piece of desktop navigation.</t>
  </si>
  <si>
    <t>A new always-on-top compositor layer, similar to how the existing taskbar is drawn, reporting clicks back to the focused app.</t>
  </si>
  <si>
    <t>Dock/taskbar with app pinning and switching</t>
  </si>
  <si>
    <t>Extends the existing taskbar (which already shows open windows) to pinned, launchable apps, not just running ones.</t>
  </si>
  <si>
    <t>Extend wm-rs's existing taskbar code with a pinned-apps list and launch-on-click.</t>
  </si>
  <si>
    <t>Add UDP socket support alongside the existing TCP stack</t>
  </si>
  <si>
    <t>Adds connectionless networking (DNS, DHCP, voice/game-style traffic) alongside the existing TCP stack, using the same socket syscalls.</t>
  </si>
  <si>
    <t>New udp.rs alongside the existing tcp.rs, reusing the existing SYS_SOCKET/SYS_BIND syscalls with a SOCK_DGRAM type.</t>
  </si>
  <si>
    <t>File manager app</t>
  </si>
  <si>
    <t>Browse, open, move, and delete files with the mouse - the single most-used app on any real desktop OS.</t>
  </si>
  <si>
    <t>A new ring-3 app built on the existing VFS syscalls (SYS_OPEN/SYS_READ/directory listing) plus the new graphics/windowing API.</t>
  </si>
  <si>
    <t>Month 2 - Graphics foundation</t>
  </si>
  <si>
    <t>VESA/VBE linear framebuffer driver - real resolution and real color depth</t>
  </si>
  <si>
    <t>Settings app - the shell every future settings panel plugs into</t>
  </si>
  <si>
    <t>Switches the display from 1990s-era 320x200 text-mode graphics to a real, modern resolution and color depth - the single biggest visual upgrade in the whole plan.</t>
  </si>
  <si>
    <t>The one place every future settings panel plugs into - built once, extended repeatedly.</t>
  </si>
  <si>
    <t>A new ring-3 app with a simple plugin-panel structure, reading/writing the existing SYSTEM.CFG/USERS.CFG and future service configs.</t>
  </si>
  <si>
    <t>Query VBE mode info at boot (multiboot or real-mode BIOS callback), map the returned linear framebuffer into kernel space, and replace vga_put_pixel()'s backing store.</t>
  </si>
  <si>
    <t>In-window terminal app</t>
  </si>
  <si>
    <t>Runs the existing shell inside a real, resizable window instead of taking over the whole screen in text mode.</t>
  </si>
  <si>
    <t>A thin ring-3 wrapper that renders the shell's own text output into a window via the new graphics API, forwarding keystrokes back.</t>
  </si>
  <si>
    <t>VirtIO-GPU driver - genuine 2D/3D acceleration primitives</t>
  </si>
  <si>
    <t>Text editor app</t>
  </si>
  <si>
    <t>A real, genuine 2D/3D acceleration path for VMs and cloud hosts - achievable because VirtIO's protocol is open and simple compared to real hardware GPUs.</t>
  </si>
  <si>
    <t>A basic, real text editor - needed for any actual "use this as my computer" workflow, and a showcase for the new font rendering.</t>
  </si>
  <si>
    <t>New ring-3 app on the existing file-read/write syscalls plus the new font-rendering module.</t>
  </si>
  <si>
    <t>New kernel/drivers/virtiogpu/, following the existing virtio-blk/virtio-net driver shape already in the codebase (same transport, different device type).</t>
  </si>
  <si>
    <t>App launcher / software-store front-end for the existing signed packages</t>
  </si>
  <si>
    <t>A graphical front-end for the package system that already works end-to-end - the missing piece is only the UI.</t>
  </si>
  <si>
    <t>New ring-3 app calling the existing pkg install logic, listing available signed packages from a repository.</t>
  </si>
  <si>
    <t>New framebuffer-based graphics syscall API, designed to hand off to a GPU later without a rewrite</t>
  </si>
  <si>
    <t>Replaces today's SYS_GFX_PUT_PIXEL-style calls with a real, framebuffer-based API that can hand off to GPU acceleration later without every app rewriting its own drawing code.</t>
  </si>
  <si>
    <t>Graphical login screen</t>
  </si>
  <si>
    <t>New syscalls in the existing kernel/arch/x86/cpu/syscall.c dispatch table, backed by the new framebuffer/GPU driver underneath.</t>
  </si>
  <si>
    <t>Replaces the current text-mode login prompt with a real, graphical one - the first thing any user sees.</t>
  </si>
  <si>
    <t>A privileged ring-3 app run before the desktop shell starts, using the existing SYS_LOGIN syscall underneath a new graphical form.</t>
  </si>
  <si>
    <t>Month 4 - Server &amp; admin UI</t>
  </si>
  <si>
    <t>Shared-memory IPC primitive for fast pixel handoff between the compositor and apps</t>
  </si>
  <si>
    <t>Network and firewall settings panel</t>
  </si>
  <si>
    <t>Graphical control for the new firewall and existing network config, instead of editing config files by hand.</t>
  </si>
  <si>
    <t>Lets the compositor and an app share a block of memory directly for pixel data instead of copying every frame through a syscall - the real difference between laggy and smooth.</t>
  </si>
  <si>
    <t>A panel plugged into the Settings app, reading/writing the firewall rule table from the kernel-side firewall task.</t>
  </si>
  <si>
    <t>A new SYS_SHM_CREATE/SYS_SHM_MAP syscall pair building on the existing per-process page-directory model, mapping the same physical pages into two processes' address spaces.</t>
  </si>
  <si>
    <t>User and permissions management panel</t>
  </si>
  <si>
    <t>A graphical useradd-equivalent - create accounts, set admin/non-admin status, without needing the shell.</t>
  </si>
  <si>
    <t>A Settings-app panel calling the existing USERS.CFG read/write logic already proven in kernel/rust/users.rs.</t>
  </si>
  <si>
    <t>Month 3 - Kernel support for apps</t>
  </si>
  <si>
    <t>App-to-app messaging primitive, beyond today's pipes</t>
  </si>
  <si>
    <t>A structured way for one app to send another a message, not just raw bytes - the backbone of things like "the file manager tells the text editor to open a file."</t>
  </si>
  <si>
    <t>Log viewer app, reading the new structured kernel logs</t>
  </si>
  <si>
    <t>Build on the existing pipe/SYS_PIPE infrastructure, adding message framing and a simple addressing scheme by process ID or registered service name.</t>
  </si>
  <si>
    <t>A graphical way to read the new structured kernel logs - the visible half of "why did this crash."</t>
  </si>
  <si>
    <t>New ring-3 app querying the new log-query syscall, with basic filtering/search.</t>
  </si>
  <si>
    <t>Service manager panel showing what's running, crashed, or restarting</t>
  </si>
  <si>
    <t>Audio mixing support so multiple apps can share one output</t>
  </si>
  <si>
    <t>Shows what novainit is actually supervising right now, instead of that state only being visible in a log.</t>
  </si>
  <si>
    <t>Lets multiple apps play sound at once through the one physical AC97 output, instead of only one program owning the audio device at a time.</t>
  </si>
  <si>
    <t>A Settings-app panel querying novainit's own status via a new, small query syscall or shared status table.</t>
  </si>
  <si>
    <t>A mixing buffer that sums multiple apps' PCM streams before handing the result to the existing AC97 driver.</t>
  </si>
  <si>
    <t>Month 5 - Power-user &amp; system apps</t>
  </si>
  <si>
    <t>Device manager listing connected NVMe/USB/Wi-Fi hardware</t>
  </si>
  <si>
    <t>Lets a user actually see what hardware the machine has, using the new drivers from the kernel track's Month 5.</t>
  </si>
  <si>
    <t>A Settings-app panel querying the existing driver-registration table for currently-registered devices.</t>
  </si>
  <si>
    <t>Per-process resource limits (memory/CPU quotas) as a real scheduler feature</t>
  </si>
  <si>
    <t>Stops one runaway process from starving the whole machine, by giving the scheduler real memory/CPU quotas to enforce.</t>
  </si>
  <si>
    <t>Extend process_t (kernel/task/process.h) with quota fields, checked in the existing scheduler tick and the heap allocator's own allocation path.</t>
  </si>
  <si>
    <t>Activity/performance monitor app</t>
  </si>
  <si>
    <t>Shows CPU/memory/process activity live - the "why is my machine slow" tool every real OS has.</t>
  </si>
  <si>
    <t>A new ring-3 app polling the scheduler/process-table state via a new, read-only query syscall.</t>
  </si>
  <si>
    <t>Month 4 - Server &amp; security core</t>
  </si>
  <si>
    <t>Mandatory access control enforcement, extending the existing per-process capability model</t>
  </si>
  <si>
    <t>A second, stricter layer of confinement beyond today's capability lists - an app can't do anything outside its own declared profile, even if a bug tries to.</t>
  </si>
  <si>
    <t>Accessibility basics: font scaling, high-contrast mode</t>
  </si>
  <si>
    <t>A new policy table checked in the existing syscall entry path alongside the existing allowed_files[]/allowed_hosts[] checks, loaded from a per-app profile file.</t>
  </si>
  <si>
    <t>Font scaling and high-contrast mode - a real, not-optional baseline for low vision, and cheap once font rendering exists.</t>
  </si>
  <si>
    <t>Global settings read by the font-rendering module and the compositor's own color choices.</t>
  </si>
  <si>
    <t>A real, stateful firewall in the network stack</t>
  </si>
  <si>
    <t>Multi-window productivity polish - refining window snapping</t>
  </si>
  <si>
    <t>Blocks or allows network traffic based on rules and connection state, not just "is this port open" - the baseline expectation for any networked machine.</t>
  </si>
  <si>
    <t>Refines the existing window-snapping behavior - smoother edges, better multi-monitor-ready geometry.</t>
  </si>
  <si>
    <t>A new filtering stage in the existing tcp.rs/ip.c receive path, checking a rule table before a packet is accepted.</t>
  </si>
  <si>
    <t>Direct refinement of wm-rs's own existing snap logic.</t>
  </si>
  <si>
    <t>Month 6 - First impressions</t>
  </si>
  <si>
    <t>Graphical installer flow</t>
  </si>
  <si>
    <t>The user-facing wizard for "install NovaOS on this machine," pairing with the kernel-side partitioning engine.</t>
  </si>
  <si>
    <t>A ring-3 app calling the new installer engine, walking the user through disk selection, account creation, and install progress.</t>
  </si>
  <si>
    <t>Structured, queryable kernel logging subsystem</t>
  </si>
  <si>
    <t>Crash reporter UI</t>
  </si>
  <si>
    <t>Replaces the plain serial-port log stream with real, timestamped, queryable, per-service log entries - the difference between "why did this crash" being answerable or not.</t>
  </si>
  <si>
    <t>Shows a real crash report to the user instead of the machine just quietly rebooting.</t>
  </si>
  <si>
    <t>A ring-buffer log store in the kernel with a new query syscall, feeding both the existing kernel_log() call sites and novainit's own service output.</t>
  </si>
  <si>
    <t>A ring-3 app shown automatically at boot when a pending crash record is found, reading the exported file.</t>
  </si>
  <si>
    <t>"Check for updates" / apply-update UI</t>
  </si>
  <si>
    <t>The user-facing half of the new atomic update mechanism.</t>
  </si>
  <si>
    <t>Package-repository network protocol support, server side</t>
  </si>
  <si>
    <t>A Settings-app panel calling the update mechanism, showing progress and confirming before applying.</t>
  </si>
  <si>
    <t>The server-side counterpart to the existing pkg install-http client - lets a NovaOS machine serve signed packages to others.</t>
  </si>
  <si>
    <t>A server built on the existing kernel/rust/http.rs/TCP stack, serving from a directory of already-signed .PKG files.</t>
  </si>
  <si>
    <t>First-run setup wizard - accounts, network, preferences</t>
  </si>
  <si>
    <t>Walks a new user through account creation, network setup, and preferences on first boot.</t>
  </si>
  <si>
    <t>Extends the existing firstrun.c concept into a graphical ring-3 app, calling the same underlying account-creation logic.</t>
  </si>
  <si>
    <t>Month 5 - Driver breadth &amp; performance</t>
  </si>
  <si>
    <t>NVMe driver</t>
  </si>
  <si>
    <t>Total</t>
  </si>
  <si>
    <t>Modern SSD storage support - real laptops and servers use NVMe almost exclusively now.</t>
  </si>
  <si>
    <t>New kernel/drivers/nvme/, following the existing virtio-blk driver's "expose a block device to the VFS" shape.</t>
  </si>
  <si>
    <t>Full UI QA pass and end-user documentation</t>
  </si>
  <si>
    <t>A dedicated pass testing every app together, plus writing the end-user guide.</t>
  </si>
  <si>
    <t>Process work across every app built in the interface track.</t>
  </si>
  <si>
    <t>USB 3.0 (xHCI) driver</t>
  </si>
  <si>
    <t>Replaces today's USB 1.1-only (UHCI) support with real, high-speed USB for any modern external drive, webcam, or peripheral.</t>
  </si>
  <si>
    <t>New kernel/drivers/xhci/, reusing the existing UHCI driver's overall enumerate-the-root-hub structure.</t>
  </si>
  <si>
    <t>Wi-Fi driver for at least one common chipset</t>
  </si>
  <si>
    <t>Wireless networking - a real, practical gap for any laptop-class hardware target.</t>
  </si>
  <si>
    <t>New driver feeding into the existing network stack at the same layer RTL8139/virtio-net do today.</t>
  </si>
  <si>
    <t>Per-driver locking pass - replacing today's intentionally coarse filesystem/driver locks</t>
  </si>
  <si>
    <t>Replaces today's coarse, whole-filesystem locks with fine-grained ones so multiple cores can genuinely work on different files/drivers at once.</t>
  </si>
  <si>
    <t>Add locks scoped to each driver's own static state, following the same SpinLock&lt;T&gt; pattern already used for the process table and PMM.</t>
  </si>
  <si>
    <t>SMP scaling validation beyond today's two-CPU test configuration</t>
  </si>
  <si>
    <t>Confirms the scheduler and locking hold up with more than the two CPUs tested so far - real server hardware often has far more cores.</t>
  </si>
  <si>
    <t>Test-configuration work (QEMU -smp N for higher N), watching for lock contention or correctness issues the current 2-CPU testing wouldn't surface.</t>
  </si>
  <si>
    <t>% Complete</t>
  </si>
  <si>
    <t>Month 6 - Release hardening</t>
  </si>
  <si>
    <t>Atomic OS update mechanism - safe apply and rollback, kernel/bootloader hooks</t>
  </si>
  <si>
    <t>Lets the whole OS update safely - if power is lost mid-update, the machine boots the old, working version instead of a half-written one.</t>
  </si>
  <si>
    <t>Build on the existing package-signing infrastructure (kernel/rust/pkgsign.rs) plus the existing FAT32 journal, treating an update as a signed package applied to a secondary boot slot.</t>
  </si>
  <si>
    <t>Crash-dump auto-export hooks feeding the user-facing crash reporter</t>
  </si>
  <si>
    <t>Connects the existing kernel-only crash-dump recorder to something a user can actually see, instead of it only living on a hidden disk partition.</t>
  </si>
  <si>
    <t>A boot-time check extending the existing "pending crash" flag check, copying the crash record to a well-known file the new crash-reporter app can read.</t>
  </si>
  <si>
    <t>Full kernel security and regression audit</t>
  </si>
  <si>
    <t>A deliberate, dedicated pass re-checking every capability/permission boundary added across the whole plan before calling the kernel release-ready.</t>
  </si>
  <si>
    <t>Re-run and extend the existing test_runner.py assertion suite, plus manual review of every new syscall's own permission checks.</t>
  </si>
  <si>
    <t>On-disk partitioning/formatting engine backing the installer</t>
  </si>
  <si>
    <t>The actual disk-writing logic behind "install NovaOS to this machine" - partitioning and formatting a real disk, not just booting a prebuilt test image.</t>
  </si>
  <si>
    <t>A tool built on the existing tools/build-disk-image.sh logic and the existing FAT32/journal code, adapted to write to a real block device.</t>
  </si>
  <si>
    <t>Overall</t>
  </si>
  <si>
    <t>Kernel Track by month</t>
  </si>
  <si>
    <t>Interface Track by month</t>
  </si>
  <si>
    <t>Language mix (kernel + interface tasks)</t>
  </si>
  <si>
    <t>Kernel tasks</t>
  </si>
  <si>
    <t>Interface tasks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</si>
</sst>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9">
    <font>
      <sz val="11.0"/>
      <color theme="1"/>
      <name val="Calibri"/>
      <scheme val="minor"/>
    </font>
    <font>
      <b/>
      <sz val="11.0"/>
      <color rgb="FFFFFFFF"/>
      <name val="Arial"/>
    </font>
    <font>
      <b/>
      <sz val="18.0"/>
      <color theme="1"/>
      <name val="Arial"/>
    </font>
    <font>
      <sz val="10.0"/>
      <color theme="1"/>
      <name val="Arial"/>
    </font>
    <font>
      <i/>
      <sz val="11.0"/>
      <color rgb="FF5B6270"/>
      <name val="Arial"/>
    </font>
    <font>
      <b/>
      <sz val="10.0"/>
      <color rgb="FF5B6270"/>
      <name val="Arial"/>
    </font>
    <font>
      <b/>
      <sz val="12.0"/>
      <color rgb="FFB8722E"/>
      <name val="Arial"/>
    </font>
    <font>
      <b/>
      <sz val="10.0"/>
      <color rgb="FF1E4A87"/>
      <name val="Arial"/>
    </font>
    <font>
      <b/>
      <sz val="10.0"/>
      <color rgb="FFB8461F"/>
      <name val="Arial"/>
    </font>
    <font>
      <b/>
      <sz val="12.0"/>
      <color rgb="FF2B8C8C"/>
      <name val="Arial"/>
    </font>
    <font>
      <b/>
      <sz val="12.0"/>
      <color rgb="FF5B5FC7"/>
      <name val="Arial"/>
    </font>
    <font>
      <sz val="10.0"/>
      <color rgb="FF5B6270"/>
      <name val="Arial"/>
    </font>
    <font>
      <b/>
      <sz val="16.0"/>
      <color rgb="FFB8722E"/>
      <name val="Arial"/>
    </font>
    <font>
      <b/>
      <sz val="16.0"/>
      <color rgb="FF2B8C8C"/>
      <name val="Arial"/>
    </font>
    <font>
      <b/>
      <sz val="16.0"/>
      <color rgb="FF5B5FC7"/>
      <name val="Arial"/>
    </font>
    <font>
      <b/>
      <sz val="12.0"/>
      <color rgb="FF1B1E24"/>
      <name val="Arial"/>
    </font>
    <font>
      <b/>
      <sz val="18.0"/>
      <color rgb="FF5B5FC7"/>
      <name val="Arial"/>
    </font>
    <font>
      <b/>
      <sz val="10.0"/>
      <color rgb="FFFFFFFF"/>
      <name val="Arial"/>
    </font>
    <font>
      <b/>
      <sz val="10.0"/>
      <color theme="1"/>
      <name val="Arial"/>
    </font>
  </fonts>
  <fills count="9">
    <fill>
      <patternFill patternType="none"/>
    </fill>
    <fill>
      <patternFill patternType="lightGray"/>
    </fill>
    <fill>
      <patternFill patternType="solid">
        <fgColor rgb="FF5B5FC7"/>
        <bgColor rgb="FF5B5FC7"/>
      </patternFill>
    </fill>
    <fill>
      <patternFill patternType="solid">
        <fgColor rgb="FFB8722E"/>
        <bgColor rgb="FFB8722E"/>
      </patternFill>
    </fill>
    <fill>
      <patternFill patternType="solid">
        <fgColor rgb="FF2B8C8C"/>
        <bgColor rgb="FF2B8C8C"/>
      </patternFill>
    </fill>
    <fill>
      <patternFill patternType="solid">
        <fgColor rgb="FFE9E9EC"/>
        <bgColor rgb="FFE9E9EC"/>
      </patternFill>
    </fill>
    <fill>
      <patternFill patternType="solid">
        <fgColor rgb="FFDCE7F5"/>
        <bgColor rgb="FFDCE7F5"/>
      </patternFill>
    </fill>
    <fill>
      <patternFill patternType="solid">
        <fgColor rgb="FFF7E4D8"/>
        <bgColor rgb="FFF7E4D8"/>
      </patternFill>
    </fill>
    <fill>
      <patternFill patternType="solid">
        <fgColor rgb="FF3A3F4A"/>
        <bgColor rgb="FF3A3F4A"/>
      </patternFill>
    </fill>
  </fills>
  <borders count="3">
    <border/>
    <border>
      <left/>
      <right/>
      <top/>
      <bottom/>
    </border>
    <border>
      <left style="thin">
        <color rgb="FFD6D9DE"/>
      </left>
      <right style="thin">
        <color rgb="FFD6D9DE"/>
      </right>
      <top style="thin">
        <color rgb="FFD6D9DE"/>
      </top>
      <bottom style="thin">
        <color rgb="FFD6D9DE"/>
      </bottom>
    </border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left" shrinkToFit="0" vertical="center" wrapText="0"/>
    </xf>
    <xf borderId="1" fillId="3" fontId="1" numFmtId="0" xfId="0" applyAlignment="1" applyBorder="1" applyFill="1" applyFont="1">
      <alignment horizontal="left" shrinkToFit="0" vertical="center" wrapText="0"/>
    </xf>
    <xf borderId="1" fillId="4" fontId="1" numFmtId="0" xfId="0" applyAlignment="1" applyBorder="1" applyFill="1" applyFont="1">
      <alignment horizontal="left" shrinkToFit="0" vertical="center" wrapText="0"/>
    </xf>
    <xf borderId="0" fillId="0" fontId="2" numFmtId="0" xfId="0" applyAlignment="1" applyFont="1">
      <alignment shrinkToFit="0" vertical="bottom" wrapText="0"/>
    </xf>
    <xf borderId="2" fillId="0" fontId="3" numFmtId="0" xfId="0" applyAlignment="1" applyBorder="1" applyFont="1">
      <alignment horizontal="left" shrinkToFit="0" vertical="top" wrapText="1"/>
    </xf>
    <xf borderId="0" fillId="0" fontId="4" numFmtId="0" xfId="0" applyAlignment="1" applyFont="1">
      <alignment shrinkToFit="0" vertical="bottom" wrapText="0"/>
    </xf>
    <xf borderId="2" fillId="5" fontId="5" numFmtId="0" xfId="0" applyAlignment="1" applyBorder="1" applyFill="1" applyFont="1">
      <alignment horizontal="center" shrinkToFit="0" vertical="top" wrapText="1"/>
    </xf>
    <xf borderId="0" fillId="0" fontId="6" numFmtId="0" xfId="0" applyAlignment="1" applyFont="1">
      <alignment shrinkToFit="0" vertical="bottom" wrapText="0"/>
    </xf>
    <xf borderId="2" fillId="6" fontId="7" numFmtId="0" xfId="0" applyAlignment="1" applyBorder="1" applyFill="1" applyFont="1">
      <alignment horizontal="center" shrinkToFit="0" vertical="top" wrapText="1"/>
    </xf>
    <xf borderId="2" fillId="7" fontId="8" numFmtId="0" xfId="0" applyAlignment="1" applyBorder="1" applyFill="1" applyFont="1">
      <alignment horizontal="center" shrinkToFit="0" vertical="top" wrapText="1"/>
    </xf>
    <xf borderId="2" fillId="0" fontId="3" numFmtId="0" xfId="0" applyAlignment="1" applyBorder="1" applyFont="1">
      <alignment horizontal="center" shrinkToFit="0" vertical="top" wrapText="0"/>
    </xf>
    <xf borderId="2" fillId="0" fontId="3" numFmtId="0" xfId="0" applyAlignment="1" applyBorder="1" applyFont="1">
      <alignment horizontal="center" readingOrder="0" shrinkToFit="0" vertical="top" wrapText="0"/>
    </xf>
    <xf borderId="2" fillId="0" fontId="3" numFmtId="0" xfId="0" applyAlignment="1" applyBorder="1" applyFont="1">
      <alignment shrinkToFit="0" vertical="top" wrapText="0"/>
    </xf>
    <xf borderId="0" fillId="0" fontId="9" numFmtId="0" xfId="0" applyAlignment="1" applyFont="1">
      <alignment shrinkToFit="0" vertical="bottom" wrapText="0"/>
    </xf>
    <xf borderId="0" fillId="0" fontId="10" numFmtId="0" xfId="0" applyAlignment="1" applyFont="1">
      <alignment shrinkToFit="0" vertical="bottom" wrapText="0"/>
    </xf>
    <xf borderId="0" fillId="0" fontId="11" numFmtId="0" xfId="0" applyAlignment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12" numFmtId="9" xfId="0" applyAlignment="1" applyFont="1" applyNumberFormat="1">
      <alignment shrinkToFit="0" vertical="bottom" wrapText="0"/>
    </xf>
    <xf borderId="0" fillId="0" fontId="13" numFmtId="9" xfId="0" applyAlignment="1" applyFont="1" applyNumberFormat="1">
      <alignment shrinkToFit="0" vertical="bottom" wrapText="0"/>
    </xf>
    <xf borderId="0" fillId="0" fontId="14" numFmtId="9" xfId="0" applyAlignment="1" applyFont="1" applyNumberFormat="1">
      <alignment shrinkToFit="0" vertical="bottom" wrapText="0"/>
    </xf>
    <xf borderId="0" fillId="0" fontId="15" numFmtId="0" xfId="0" applyAlignment="1" applyFont="1">
      <alignment shrinkToFit="0" vertical="bottom" wrapText="0"/>
    </xf>
    <xf borderId="0" fillId="0" fontId="16" numFmtId="9" xfId="0" applyAlignment="1" applyFont="1" applyNumberFormat="1">
      <alignment shrinkToFit="0" vertical="bottom" wrapText="0"/>
    </xf>
    <xf borderId="1" fillId="3" fontId="17" numFmtId="0" xfId="0" applyAlignment="1" applyBorder="1" applyFill="1" applyFont="1">
      <alignment shrinkToFit="0" vertical="bottom" wrapText="0"/>
    </xf>
    <xf borderId="0" fillId="0" fontId="3" numFmtId="9" xfId="0" applyAlignment="1" applyFont="1" applyNumberFormat="1">
      <alignment shrinkToFit="0" vertical="bottom" wrapText="0"/>
    </xf>
    <xf borderId="1" fillId="4" fontId="17" numFmtId="0" xfId="0" applyAlignment="1" applyBorder="1" applyFill="1" applyFont="1">
      <alignment shrinkToFit="0" vertical="bottom" wrapText="0"/>
    </xf>
    <xf borderId="1" fillId="8" fontId="17" numFmtId="0" xfId="0" applyAlignment="1" applyBorder="1" applyFill="1" applyFont="1">
      <alignment shrinkToFit="0" vertical="bottom" wrapText="0"/>
    </xf>
    <xf borderId="0" fillId="0" fontId="18" numFmtId="0" xfId="0" applyAlignment="1" applyFont="1">
      <alignment shrinkToFit="0" vertical="bottom" wrapText="0"/>
    </xf>
  </cellXfs>
  <cellStyles count="1">
    <cellStyle xfId="0" name="Normal" builtinId="0"/>
  </cellStyles>
  <dxfs count="2">
    <dxf>
      <font>
        <strike/>
        <sz val="10.0"/>
        <color rgb="FF2A7D3B"/>
        <name val="Arial"/>
      </font>
      <fill>
        <patternFill patternType="solid">
          <fgColor rgb="FFE3F1E5"/>
          <bgColor rgb="FFE3F1E5"/>
        </patternFill>
      </fill>
      <border/>
    </dxf>
    <dxf>
      <font/>
      <fill>
        <patternFill patternType="solid">
          <fgColor rgb="FFFFF6E5"/>
          <bgColor rgb="FFFFF6E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ns1="http://schemas.openxmlformats.org/officeDocument/2006/relationships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34.0"/>
    <col customWidth="1" min="2" max="3" width="12.0"/>
    <col customWidth="1" min="4" max="4" width="14.0"/>
    <col customWidth="1" min="5" max="7" width="12.0"/>
    <col customWidth="1" min="8" max="26" width="8.71"/>
  </cols>
  <sheetData>
    <row r="1">
      <c r="A1" s="4" t="s">
        <v>1</v>
      </c>
    </row>
    <row r="2">
      <c r="A2" s="6" t="s">
        <v>12</v>
      </c>
    </row>
    <row r="4">
      <c r="A4" s="8" t="s">
        <v>24</v>
      </c>
      <c r="C4" s="14" t="s">
        <v>25</v>
      </c>
      <c r="E4" s="15" t="s">
        <v>41</v>
      </c>
    </row>
    <row r="5">
      <c r="A5" s="16" t="s">
        <v>27</v>
      </c>
      <c r="B5" s="17">
        <f>COUNTIF('Kernel Track'!F2:F27,"Done")</f>
        <v>23</v>
      </c>
      <c r="C5" s="16" t="s">
        <v>27</v>
      </c>
      <c r="D5" s="17">
        <f>COUNTIF('Interface Track'!F2:F27,"Done")</f>
        <v>0</v>
      </c>
      <c r="E5" s="16" t="s">
        <v>27</v>
      </c>
      <c r="F5" s="17">
        <f>COUNTIF(Release!F2:F5,"Done")</f>
        <v>0</v>
      </c>
    </row>
    <row r="6">
      <c r="A6" s="16" t="s">
        <v>168</v>
      </c>
      <c r="B6" s="17">
        <f>COUNTA('Kernel Track'!F2:F27)</f>
        <v>26</v>
      </c>
      <c r="C6" s="16" t="s">
        <v>168</v>
      </c>
      <c r="D6" s="17">
        <f>COUNTA('Interface Track'!F2:F27)</f>
        <v>26</v>
      </c>
      <c r="E6" s="16" t="s">
        <v>168</v>
      </c>
      <c r="F6" s="17">
        <f>COUNTA(Release!F2:F5)</f>
        <v>4</v>
      </c>
    </row>
    <row r="7">
      <c r="A7" s="16" t="s">
        <v>186</v>
      </c>
      <c r="B7" s="18">
        <f>B5/B6</f>
        <v>0.8846153846153846</v>
      </c>
      <c r="C7" s="16" t="s">
        <v>186</v>
      </c>
      <c r="D7" s="19">
        <f>D5/D6</f>
        <v>0</v>
      </c>
      <c r="E7" s="16" t="s">
        <v>186</v>
      </c>
      <c r="F7" s="20">
        <f>F5/F6</f>
        <v>0</v>
      </c>
    </row>
    <row r="9">
      <c r="A9" s="21" t="s">
        <v>200</v>
      </c>
    </row>
    <row r="10">
      <c r="A10" s="16" t="s">
        <v>27</v>
      </c>
      <c r="B10" s="17">
        <f t="shared" ref="B10:B11" si="1">B5+D5+F5</f>
        <v>23</v>
      </c>
    </row>
    <row r="11">
      <c r="A11" s="16" t="s">
        <v>168</v>
      </c>
      <c r="B11" s="17">
        <f t="shared" si="1"/>
        <v>56</v>
      </c>
    </row>
    <row r="12">
      <c r="A12" s="16" t="s">
        <v>186</v>
      </c>
      <c r="B12" s="22">
        <f>B10/B11</f>
        <v>0.4107142857142857</v>
      </c>
    </row>
    <row r="14">
      <c r="A14" s="8" t="s">
        <v>201</v>
      </c>
    </row>
    <row r="15">
      <c r="A15" s="23" t="s">
        <v>0</v>
      </c>
      <c r="B15" s="23" t="s">
        <v>27</v>
      </c>
      <c r="C15" s="23" t="s">
        <v>168</v>
      </c>
      <c r="D15" s="23" t="s">
        <v>186</v>
      </c>
    </row>
    <row r="16">
      <c r="A16" s="17" t="s">
        <v>8</v>
      </c>
      <c r="B16" s="17">
        <f>COUNTIFS('Kernel Track'!A2:A1000,"Month 1 - Foundation",'Kernel Track'!F2:F1000,"Done")</f>
        <v>6</v>
      </c>
      <c r="C16" s="17">
        <f>COUNTIF('Kernel Track'!A2:A1000,"Month 1 - Foundation")</f>
        <v>6</v>
      </c>
      <c r="D16" s="24">
        <f t="shared" ref="D16:D21" si="2">IFERROR(B16/C16,0)</f>
        <v>1</v>
      </c>
    </row>
    <row r="17">
      <c r="A17" s="17" t="s">
        <v>76</v>
      </c>
      <c r="B17" s="17">
        <f>COUNTIFS('Kernel Track'!A2:A1000,"Month 2 - Graphics foundation",'Kernel Track'!F2:F1000,"Done")</f>
        <v>4</v>
      </c>
      <c r="C17" s="17">
        <f>COUNTIF('Kernel Track'!A2:A1000,"Month 2 - Graphics foundation")</f>
        <v>4</v>
      </c>
      <c r="D17" s="24">
        <f t="shared" si="2"/>
        <v>1</v>
      </c>
    </row>
    <row r="18">
      <c r="A18" s="17" t="s">
        <v>111</v>
      </c>
      <c r="B18" s="17">
        <f>COUNTIFS('Kernel Track'!A2:A1000,"Month 3 - Kernel support for apps",'Kernel Track'!F2:F1000,"Done")</f>
        <v>3</v>
      </c>
      <c r="C18" s="17">
        <f>COUNTIF('Kernel Track'!A2:A1000,"Month 3 - Kernel support for apps")</f>
        <v>3</v>
      </c>
      <c r="D18" s="24">
        <f t="shared" si="2"/>
        <v>1</v>
      </c>
    </row>
    <row r="19">
      <c r="A19" s="17" t="s">
        <v>134</v>
      </c>
      <c r="B19" s="17">
        <f>COUNTIFS('Kernel Track'!A2:A1000,"Month 4 - Server &amp; security core",'Kernel Track'!F2:F1000,"Done")</f>
        <v>4</v>
      </c>
      <c r="C19" s="17">
        <f>COUNTIF('Kernel Track'!A2:A1000,"Month 4 - Server &amp; security core")</f>
        <v>4</v>
      </c>
      <c r="D19" s="24">
        <f t="shared" si="2"/>
        <v>1</v>
      </c>
    </row>
    <row r="20">
      <c r="A20" s="17" t="s">
        <v>166</v>
      </c>
      <c r="B20" s="17">
        <f>COUNTIFS('Kernel Track'!A2:A1000,"Month 5 - Driver breadth &amp; performance",'Kernel Track'!F2:F1000,"Done")</f>
        <v>5</v>
      </c>
      <c r="C20" s="17">
        <f>COUNTIF('Kernel Track'!A2:A1000,"Month 5 - Driver breadth &amp; performance")</f>
        <v>5</v>
      </c>
      <c r="D20" s="24">
        <f t="shared" si="2"/>
        <v>1</v>
      </c>
    </row>
    <row r="21" ht="15.75" customHeight="1">
      <c r="A21" s="17" t="s">
        <v>187</v>
      </c>
      <c r="B21" s="17">
        <f>COUNTIFS('Kernel Track'!A2:A1000,"Month 6 - Release hardening",'Kernel Track'!F2:F1000,"Done")</f>
        <v>1</v>
      </c>
      <c r="C21" s="17">
        <f>COUNTIF('Kernel Track'!A2:A1000,"Month 6 - Release hardening")</f>
        <v>4</v>
      </c>
      <c r="D21" s="24">
        <f t="shared" si="2"/>
        <v>0.25</v>
      </c>
    </row>
    <row r="22" ht="15.75" customHeight="1"/>
    <row r="23" ht="15.75" customHeight="1">
      <c r="A23" s="14" t="s">
        <v>202</v>
      </c>
    </row>
    <row r="24" ht="15.75" customHeight="1">
      <c r="A24" s="25" t="s">
        <v>0</v>
      </c>
      <c r="B24" s="25" t="s">
        <v>27</v>
      </c>
      <c r="C24" s="25" t="s">
        <v>168</v>
      </c>
      <c r="D24" s="25" t="s">
        <v>186</v>
      </c>
    </row>
    <row r="25" ht="15.75" customHeight="1">
      <c r="A25" s="17" t="s">
        <v>13</v>
      </c>
      <c r="B25" s="17">
        <f>COUNTIFS('Interface Track'!A2:A1000,"Month 1 - Prep",'Interface Track'!F2:F1000,"Done")</f>
        <v>0</v>
      </c>
      <c r="C25" s="17">
        <f>COUNTIF('Interface Track'!A2:A1000,"Month 1 - Prep")</f>
        <v>2</v>
      </c>
      <c r="D25" s="24">
        <f t="shared" ref="D25:D30" si="3">IFERROR(B25/C25,0)</f>
        <v>0</v>
      </c>
    </row>
    <row r="26" ht="15.75" customHeight="1">
      <c r="A26" s="17" t="s">
        <v>34</v>
      </c>
      <c r="B26" s="17">
        <f>COUNTIFS('Interface Track'!A2:A1000,"Month 2 - Compositor",'Interface Track'!F2:F1000,"Done")</f>
        <v>0</v>
      </c>
      <c r="C26" s="17">
        <f>COUNTIF('Interface Track'!A2:A1000,"Month 2 - Compositor")</f>
        <v>3</v>
      </c>
      <c r="D26" s="24">
        <f t="shared" si="3"/>
        <v>0</v>
      </c>
    </row>
    <row r="27" ht="15.75" customHeight="1">
      <c r="A27" s="17" t="s">
        <v>63</v>
      </c>
      <c r="B27" s="17">
        <f>COUNTIFS('Interface Track'!A2:A1000,"Month 3 - Core desktop apps",'Interface Track'!F2:F1000,"Done")</f>
        <v>0</v>
      </c>
      <c r="C27" s="17">
        <f>COUNTIF('Interface Track'!A2:A1000,"Month 3 - Core desktop apps")</f>
        <v>8</v>
      </c>
      <c r="D27" s="24">
        <f t="shared" si="3"/>
        <v>0</v>
      </c>
    </row>
    <row r="28" ht="15.75" customHeight="1">
      <c r="A28" s="17" t="s">
        <v>101</v>
      </c>
      <c r="B28" s="17">
        <f>COUNTIFS('Interface Track'!A2:A1000,"Month 4 - Server &amp; admin UI",'Interface Track'!F2:F1000,"Done")</f>
        <v>0</v>
      </c>
      <c r="C28" s="17">
        <f>COUNTIF('Interface Track'!A2:A1000,"Month 4 - Server &amp; admin UI")</f>
        <v>4</v>
      </c>
      <c r="D28" s="24">
        <f t="shared" si="3"/>
        <v>0</v>
      </c>
    </row>
    <row r="29" ht="15.75" customHeight="1">
      <c r="A29" s="17" t="s">
        <v>124</v>
      </c>
      <c r="B29" s="17">
        <f>COUNTIFS('Interface Track'!A2:A1000,"Month 5 - Power-user &amp; system apps",'Interface Track'!F2:F1000,"Done")</f>
        <v>0</v>
      </c>
      <c r="C29" s="17">
        <f>COUNTIF('Interface Track'!A2:A1000,"Month 5 - Power-user &amp; system apps")</f>
        <v>4</v>
      </c>
      <c r="D29" s="24">
        <f t="shared" si="3"/>
        <v>0</v>
      </c>
    </row>
    <row r="30" ht="15.75" customHeight="1">
      <c r="A30" s="17" t="s">
        <v>147</v>
      </c>
      <c r="B30" s="17">
        <f>COUNTIFS('Interface Track'!A2:A1000,"Month 6 - First impressions",'Interface Track'!F2:F1000,"Done")</f>
        <v>0</v>
      </c>
      <c r="C30" s="17">
        <f>COUNTIF('Interface Track'!A2:A1000,"Month 6 - First impressions")</f>
        <v>5</v>
      </c>
      <c r="D30" s="24">
        <f t="shared" si="3"/>
        <v>0</v>
      </c>
    </row>
    <row r="31" ht="15.75" customHeight="1"/>
    <row r="32" ht="15.75" customHeight="1">
      <c r="A32" s="21" t="s">
        <v>203</v>
      </c>
    </row>
    <row r="33" ht="15.75" customHeight="1">
      <c r="A33" s="26" t="s">
        <v>5</v>
      </c>
      <c r="B33" s="26" t="s">
        <v>204</v>
      </c>
      <c r="C33" s="26" t="s">
        <v>205</v>
      </c>
      <c r="D33" s="26" t="s">
        <v>168</v>
      </c>
    </row>
    <row r="34" ht="15.75" customHeight="1">
      <c r="A34" s="17" t="s">
        <v>23</v>
      </c>
      <c r="B34" s="17">
        <f>COUNTIF('Kernel Track'!E2:E27,"Rust")</f>
        <v>15</v>
      </c>
      <c r="C34" s="17">
        <f>COUNTIF('Interface Track'!E2:E27,"Rust")</f>
        <v>24</v>
      </c>
      <c r="D34" s="27">
        <f t="shared" ref="D34:D36" si="4">B34+C34</f>
        <v>39</v>
      </c>
    </row>
    <row r="35" ht="15.75" customHeight="1">
      <c r="A35" s="17" t="s">
        <v>20</v>
      </c>
      <c r="B35" s="17">
        <f>COUNTIF('Kernel Track'!E2:E27,"C")</f>
        <v>8</v>
      </c>
      <c r="C35" s="17">
        <f>COUNTIF('Interface Track'!E2:E27,"C")</f>
        <v>0</v>
      </c>
      <c r="D35" s="27">
        <f t="shared" si="4"/>
        <v>8</v>
      </c>
    </row>
    <row r="36" ht="15.75" customHeight="1">
      <c r="A36" s="17" t="s">
        <v>22</v>
      </c>
      <c r="B36" s="17">
        <f>COUNTIF('Kernel Track'!E2:E27,"N/A")</f>
        <v>3</v>
      </c>
      <c r="C36" s="17">
        <f>COUNTIF('Interface Track'!E2:E27,"N/A")</f>
        <v>2</v>
      </c>
      <c r="D36" s="27">
        <f t="shared" si="4"/>
        <v>5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">
    <mergeCell ref="A1:G1"/>
    <mergeCell ref="A2:G2"/>
    <mergeCell ref="A4:B4"/>
    <mergeCell ref="C4:D4"/>
    <mergeCell ref="E4:F4"/>
    <mergeCell ref="A9:B9"/>
  </mergeCells>
  <printOptions/>
  <pageMargins bottom="0.5" footer="0.0" header="0.0" left="0.4" right="0.4" top="0.5"/>
  <pageSetup fitToHeight="0" orientation="landscape"/>
  <drawing ns1:id="rId1"/>
</worksheet>
</file>

<file path=xl/worksheets/sheet2.xml><?xml version="1.0" encoding="utf-8"?>
<worksheet xmlns="http://schemas.openxmlformats.org/spreadsheetml/2006/main" xmlns:ns1="http://schemas.openxmlformats.org/officeDocument/2006/relationships">
  <sheetPr>
    <pageSetUpPr fitToPage="1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2.0"/>
    <col customWidth="1" min="2" max="2" width="40.0"/>
    <col customWidth="1" min="3" max="3" width="48.0"/>
    <col customWidth="1" min="4" max="4" width="46.0"/>
    <col customWidth="1" min="5" max="5" width="10.0"/>
    <col customWidth="1" min="6" max="6" width="14.0"/>
    <col customWidth="1" min="7" max="7" width="22.0"/>
    <col customWidth="1" min="8" max="26" width="8.71"/>
  </cols>
  <sheetData>
    <row r="1">
      <c r="A1" s="2" t="s">
        <v>0</v>
      </c>
      <c r="B1" s="2" t="s">
        <v>2</v>
      </c>
      <c r="C1" s="2" t="s">
        <v>3</v>
      </c>
      <c r="D1" s="2" t="s">
        <v>4</v>
      </c>
      <c r="E1" s="2" t="s">
        <v>5</v>
      </c>
      <c r="F1" s="2" t="s">
        <v>6</v>
      </c>
      <c r="G1" s="2" t="s">
        <v>7</v>
      </c>
    </row>
    <row r="2" ht="60.0" customHeight="1">
      <c r="A2" s="5" t="s">
        <v>8</v>
      </c>
      <c r="B2" s="5" t="s">
        <v>10</v>
      </c>
      <c r="C2" s="5" t="s">
        <v>11</v>
      </c>
      <c r="D2" s="5" t="s">
        <v>15</v>
      </c>
      <c r="E2" s="9" t="s">
        <v>20</v>
      </c>
      <c r="F2" s="12" t="s">
        <v>27</v>
      </c>
      <c r="G2" s="13"/>
    </row>
    <row r="3" ht="60.0" customHeight="1">
      <c r="A3" s="5" t="s">
        <v>8</v>
      </c>
      <c r="B3" s="5" t="s">
        <v>28</v>
      </c>
      <c r="C3" s="5" t="s">
        <v>30</v>
      </c>
      <c r="D3" s="5" t="s">
        <v>33</v>
      </c>
      <c r="E3" s="10" t="s">
        <v>23</v>
      </c>
      <c r="F3" s="12" t="s">
        <v>27</v>
      </c>
      <c r="G3" s="13"/>
    </row>
    <row r="4" ht="60.0" customHeight="1">
      <c r="A4" s="5" t="s">
        <v>8</v>
      </c>
      <c r="B4" s="5" t="s">
        <v>36</v>
      </c>
      <c r="C4" s="5" t="s">
        <v>38</v>
      </c>
      <c r="D4" s="5" t="s">
        <v>40</v>
      </c>
      <c r="E4" s="10" t="s">
        <v>23</v>
      </c>
      <c r="F4" s="12" t="s">
        <v>27</v>
      </c>
      <c r="G4" s="13"/>
    </row>
    <row r="5" ht="60.0" customHeight="1">
      <c r="A5" s="5" t="s">
        <v>8</v>
      </c>
      <c r="B5" s="5" t="s">
        <v>46</v>
      </c>
      <c r="C5" s="5" t="s">
        <v>49</v>
      </c>
      <c r="D5" s="5" t="s">
        <v>50</v>
      </c>
      <c r="E5" s="9" t="s">
        <v>20</v>
      </c>
      <c r="F5" s="12" t="s">
        <v>27</v>
      </c>
      <c r="G5" s="13"/>
    </row>
    <row r="6" ht="60.0" customHeight="1">
      <c r="A6" s="5" t="s">
        <v>8</v>
      </c>
      <c r="B6" s="5" t="s">
        <v>57</v>
      </c>
      <c r="C6" s="5" t="s">
        <v>58</v>
      </c>
      <c r="D6" s="5" t="s">
        <v>60</v>
      </c>
      <c r="E6" s="7" t="s">
        <v>22</v>
      </c>
      <c r="F6" s="12" t="s">
        <v>27</v>
      </c>
      <c r="G6" s="13"/>
    </row>
    <row r="7" ht="60.0" customHeight="1">
      <c r="A7" s="5" t="s">
        <v>8</v>
      </c>
      <c r="B7" s="5" t="s">
        <v>70</v>
      </c>
      <c r="C7" s="5" t="s">
        <v>71</v>
      </c>
      <c r="D7" s="5" t="s">
        <v>72</v>
      </c>
      <c r="E7" s="10" t="s">
        <v>23</v>
      </c>
      <c r="F7" s="12" t="s">
        <v>27</v>
      </c>
      <c r="G7" s="13"/>
    </row>
    <row r="8" ht="60.0" customHeight="1">
      <c r="A8" s="5" t="s">
        <v>76</v>
      </c>
      <c r="B8" s="5" t="s">
        <v>77</v>
      </c>
      <c r="C8" s="5" t="s">
        <v>79</v>
      </c>
      <c r="D8" s="5" t="s">
        <v>82</v>
      </c>
      <c r="E8" s="9" t="s">
        <v>20</v>
      </c>
      <c r="F8" s="12" t="s">
        <v>27</v>
      </c>
      <c r="G8" s="13"/>
    </row>
    <row r="9" ht="60.0" customHeight="1">
      <c r="A9" s="5" t="s">
        <v>76</v>
      </c>
      <c r="B9" s="5" t="s">
        <v>86</v>
      </c>
      <c r="C9" s="5" t="s">
        <v>88</v>
      </c>
      <c r="D9" s="5" t="s">
        <v>91</v>
      </c>
      <c r="E9" s="10" t="s">
        <v>23</v>
      </c>
      <c r="F9" s="12" t="s">
        <v>27</v>
      </c>
      <c r="G9" s="13"/>
    </row>
    <row r="10" ht="60.0" customHeight="1">
      <c r="A10" s="5" t="s">
        <v>76</v>
      </c>
      <c r="B10" s="5" t="s">
        <v>95</v>
      </c>
      <c r="C10" s="5" t="s">
        <v>96</v>
      </c>
      <c r="D10" s="5" t="s">
        <v>98</v>
      </c>
      <c r="E10" s="9" t="s">
        <v>20</v>
      </c>
      <c r="F10" s="12" t="s">
        <v>27</v>
      </c>
      <c r="G10" s="13"/>
    </row>
    <row r="11" ht="60.0" customHeight="1">
      <c r="A11" s="5" t="s">
        <v>76</v>
      </c>
      <c r="B11" s="5" t="s">
        <v>102</v>
      </c>
      <c r="C11" s="5" t="s">
        <v>105</v>
      </c>
      <c r="D11" s="5" t="s">
        <v>107</v>
      </c>
      <c r="E11" s="10" t="s">
        <v>23</v>
      </c>
      <c r="F11" s="12" t="s">
        <v>27</v>
      </c>
      <c r="G11" s="13"/>
    </row>
    <row r="12" ht="60.0" customHeight="1">
      <c r="A12" s="5" t="s">
        <v>111</v>
      </c>
      <c r="B12" s="5" t="s">
        <v>112</v>
      </c>
      <c r="C12" s="5" t="s">
        <v>113</v>
      </c>
      <c r="D12" s="5" t="s">
        <v>115</v>
      </c>
      <c r="E12" s="10" t="s">
        <v>23</v>
      </c>
      <c r="F12" s="12" t="s">
        <v>27</v>
      </c>
      <c r="G12" s="13"/>
    </row>
    <row r="13" ht="60.0" customHeight="1">
      <c r="A13" s="5" t="s">
        <v>111</v>
      </c>
      <c r="B13" s="5" t="s">
        <v>119</v>
      </c>
      <c r="C13" s="5" t="s">
        <v>121</v>
      </c>
      <c r="D13" s="5" t="s">
        <v>123</v>
      </c>
      <c r="E13" s="10" t="s">
        <v>23</v>
      </c>
      <c r="F13" s="12" t="s">
        <v>27</v>
      </c>
      <c r="G13" s="13"/>
    </row>
    <row r="14" ht="60.0" customHeight="1">
      <c r="A14" s="5" t="s">
        <v>111</v>
      </c>
      <c r="B14" s="5" t="s">
        <v>128</v>
      </c>
      <c r="C14" s="5" t="s">
        <v>129</v>
      </c>
      <c r="D14" s="5" t="s">
        <v>130</v>
      </c>
      <c r="E14" s="9" t="s">
        <v>20</v>
      </c>
      <c r="F14" s="12" t="s">
        <v>27</v>
      </c>
      <c r="G14" s="13"/>
    </row>
    <row r="15" ht="60.0" customHeight="1">
      <c r="A15" s="5" t="s">
        <v>134</v>
      </c>
      <c r="B15" s="5" t="s">
        <v>135</v>
      </c>
      <c r="C15" s="5" t="s">
        <v>136</v>
      </c>
      <c r="D15" s="5" t="s">
        <v>138</v>
      </c>
      <c r="E15" s="10" t="s">
        <v>23</v>
      </c>
      <c r="F15" s="12" t="s">
        <v>27</v>
      </c>
      <c r="G15" s="13"/>
    </row>
    <row r="16" ht="60.0" customHeight="1">
      <c r="A16" s="5" t="s">
        <v>134</v>
      </c>
      <c r="B16" s="5" t="s">
        <v>141</v>
      </c>
      <c r="C16" s="5" t="s">
        <v>143</v>
      </c>
      <c r="D16" s="5" t="s">
        <v>145</v>
      </c>
      <c r="E16" s="10" t="s">
        <v>23</v>
      </c>
      <c r="F16" s="12" t="s">
        <v>27</v>
      </c>
      <c r="G16" s="13"/>
    </row>
    <row r="17" ht="60.0" customHeight="1">
      <c r="A17" s="5" t="s">
        <v>134</v>
      </c>
      <c r="B17" s="5" t="s">
        <v>151</v>
      </c>
      <c r="C17" s="5" t="s">
        <v>153</v>
      </c>
      <c r="D17" s="5" t="s">
        <v>155</v>
      </c>
      <c r="E17" s="10" t="s">
        <v>23</v>
      </c>
      <c r="F17" s="12" t="s">
        <v>27</v>
      </c>
      <c r="G17" s="13"/>
    </row>
    <row r="18" ht="60.0" customHeight="1">
      <c r="A18" s="5" t="s">
        <v>134</v>
      </c>
      <c r="B18" s="5" t="s">
        <v>159</v>
      </c>
      <c r="C18" s="5" t="s">
        <v>161</v>
      </c>
      <c r="D18" s="5" t="s">
        <v>162</v>
      </c>
      <c r="E18" s="10" t="s">
        <v>23</v>
      </c>
      <c r="F18" s="12" t="s">
        <v>27</v>
      </c>
      <c r="G18" s="13"/>
    </row>
    <row r="19" ht="60.0" customHeight="1">
      <c r="A19" s="5" t="s">
        <v>166</v>
      </c>
      <c r="B19" s="5" t="s">
        <v>167</v>
      </c>
      <c r="C19" s="5" t="s">
        <v>169</v>
      </c>
      <c r="D19" s="5" t="s">
        <v>170</v>
      </c>
      <c r="E19" s="10" t="s">
        <v>20</v>
      </c>
      <c r="F19" s="12" t="s">
        <v>27</v>
      </c>
      <c r="G19" s="13"/>
    </row>
    <row r="20" ht="60.0" customHeight="1">
      <c r="A20" s="5" t="s">
        <v>166</v>
      </c>
      <c r="B20" s="5" t="s">
        <v>174</v>
      </c>
      <c r="C20" s="5" t="s">
        <v>175</v>
      </c>
      <c r="D20" s="5" t="s">
        <v>176</v>
      </c>
      <c r="E20" s="10" t="s">
        <v>20</v>
      </c>
      <c r="F20" s="12" t="s">
        <v>27</v>
      </c>
      <c r="G20" s="13"/>
    </row>
    <row r="21" ht="60.0" customHeight="1">
      <c r="A21" s="5" t="s">
        <v>166</v>
      </c>
      <c r="B21" s="5" t="s">
        <v>177</v>
      </c>
      <c r="C21" s="5" t="s">
        <v>178</v>
      </c>
      <c r="D21" s="5" t="s">
        <v>179</v>
      </c>
      <c r="E21" s="10" t="s">
        <v>20</v>
      </c>
      <c r="F21" s="12" t="s">
        <v>27</v>
      </c>
      <c r="G21" s="13"/>
    </row>
    <row r="22" ht="60.0" customHeight="1">
      <c r="A22" s="5" t="s">
        <v>166</v>
      </c>
      <c r="B22" s="5" t="s">
        <v>180</v>
      </c>
      <c r="C22" s="5" t="s">
        <v>181</v>
      </c>
      <c r="D22" s="5" t="s">
        <v>182</v>
      </c>
      <c r="E22" s="10" t="s">
        <v>23</v>
      </c>
      <c r="F22" s="12" t="s">
        <v>27</v>
      </c>
      <c r="G22" s="13"/>
    </row>
    <row r="23" ht="60.0" customHeight="1">
      <c r="A23" s="5" t="s">
        <v>166</v>
      </c>
      <c r="B23" s="5" t="s">
        <v>183</v>
      </c>
      <c r="C23" s="5" t="s">
        <v>184</v>
      </c>
      <c r="D23" s="5" t="s">
        <v>185</v>
      </c>
      <c r="E23" s="7" t="s">
        <v>22</v>
      </c>
      <c r="F23" s="12" t="s">
        <v>27</v>
      </c>
      <c r="G23" s="13"/>
    </row>
    <row r="24" ht="60.0" customHeight="1">
      <c r="A24" s="5" t="s">
        <v>187</v>
      </c>
      <c r="B24" s="5" t="s">
        <v>188</v>
      </c>
      <c r="C24" s="5" t="s">
        <v>189</v>
      </c>
      <c r="D24" s="5" t="s">
        <v>190</v>
      </c>
      <c r="E24" s="10" t="s">
        <v>23</v>
      </c>
      <c r="F24" s="12" t="s">
        <v>27</v>
      </c>
      <c r="G24" s="13"/>
    </row>
    <row r="25" ht="60.0" customHeight="1">
      <c r="A25" s="5" t="s">
        <v>187</v>
      </c>
      <c r="B25" s="5" t="s">
        <v>191</v>
      </c>
      <c r="C25" s="5" t="s">
        <v>192</v>
      </c>
      <c r="D25" s="5" t="s">
        <v>193</v>
      </c>
      <c r="E25" s="10" t="s">
        <v>23</v>
      </c>
      <c r="F25" s="11" t="s">
        <v>26</v>
      </c>
      <c r="G25" s="13"/>
    </row>
    <row r="26" ht="60.0" customHeight="1">
      <c r="A26" s="5" t="s">
        <v>187</v>
      </c>
      <c r="B26" s="5" t="s">
        <v>194</v>
      </c>
      <c r="C26" s="5" t="s">
        <v>195</v>
      </c>
      <c r="D26" s="5" t="s">
        <v>196</v>
      </c>
      <c r="E26" s="7" t="s">
        <v>22</v>
      </c>
      <c r="F26" s="11" t="s">
        <v>26</v>
      </c>
      <c r="G26" s="13"/>
    </row>
    <row r="27" ht="60.0" customHeight="1">
      <c r="A27" s="5" t="s">
        <v>187</v>
      </c>
      <c r="B27" s="5" t="s">
        <v>197</v>
      </c>
      <c r="C27" s="5" t="s">
        <v>198</v>
      </c>
      <c r="D27" s="5" t="s">
        <v>199</v>
      </c>
      <c r="E27" s="10" t="s">
        <v>23</v>
      </c>
      <c r="F27" s="11" t="s">
        <v>26</v>
      </c>
      <c r="G27" s="13"/>
    </row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2:G27">
    <cfRule type="expression" dxfId="0" priority="1">
      <formula>$F2="Done"</formula>
    </cfRule>
  </conditionalFormatting>
  <conditionalFormatting sqref="A2:G27">
    <cfRule type="expression" dxfId="1" priority="2">
      <formula>$F2="In Progress"</formula>
    </cfRule>
  </conditionalFormatting>
  <dataValidations>
    <dataValidation type="list" allowBlank="1" sqref="F2:F27">
      <formula1>"Not Started,In Progress,Done"</formula1>
    </dataValidation>
  </dataValidations>
  <printOptions/>
  <pageMargins bottom="0.5" footer="0.0" header="0.0" left="0.35" right="0.35" top="0.5"/>
  <pageSetup fitToHeight="0" orientation="landscape"/>
  <drawing ns1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2.0"/>
    <col customWidth="1" min="2" max="2" width="40.0"/>
    <col customWidth="1" min="3" max="3" width="48.0"/>
    <col customWidth="1" min="4" max="4" width="46.0"/>
    <col customWidth="1" min="5" max="5" width="10.0"/>
    <col customWidth="1" min="6" max="6" width="14.0"/>
    <col customWidth="1" min="7" max="7" width="22.0"/>
    <col customWidth="1" min="8" max="26" width="8.71"/>
  </cols>
  <sheetData>
    <row r="1">
      <c r="A1" s="3" t="s">
        <v>0</v>
      </c>
      <c r="B1" s="3" t="s">
        <v>2</v>
      </c>
      <c r="C1" s="3" t="s">
        <v>3</v>
      </c>
      <c r="D1" s="3" t="s">
        <v>4</v>
      </c>
      <c r="E1" s="3" t="s">
        <v>5</v>
      </c>
      <c r="F1" s="3" t="s">
        <v>6</v>
      </c>
      <c r="G1" s="3" t="s">
        <v>7</v>
      </c>
    </row>
    <row r="2" ht="60.0" customHeight="1">
      <c r="A2" s="5" t="s">
        <v>13</v>
      </c>
      <c r="B2" s="5" t="s">
        <v>17</v>
      </c>
      <c r="C2" s="5" t="s">
        <v>19</v>
      </c>
      <c r="D2" s="5" t="s">
        <v>21</v>
      </c>
      <c r="E2" s="10" t="s">
        <v>23</v>
      </c>
      <c r="F2" s="11" t="s">
        <v>26</v>
      </c>
      <c r="G2" s="13"/>
    </row>
    <row r="3" ht="60.0" customHeight="1">
      <c r="A3" s="5" t="s">
        <v>13</v>
      </c>
      <c r="B3" s="5" t="s">
        <v>29</v>
      </c>
      <c r="C3" s="5" t="s">
        <v>31</v>
      </c>
      <c r="D3" s="5" t="s">
        <v>32</v>
      </c>
      <c r="E3" s="7" t="s">
        <v>22</v>
      </c>
      <c r="F3" s="11" t="s">
        <v>26</v>
      </c>
      <c r="G3" s="13"/>
    </row>
    <row r="4" ht="60.0" customHeight="1">
      <c r="A4" s="5" t="s">
        <v>34</v>
      </c>
      <c r="B4" s="5" t="s">
        <v>35</v>
      </c>
      <c r="C4" s="5" t="s">
        <v>37</v>
      </c>
      <c r="D4" s="5" t="s">
        <v>39</v>
      </c>
      <c r="E4" s="10" t="s">
        <v>23</v>
      </c>
      <c r="F4" s="11" t="s">
        <v>26</v>
      </c>
      <c r="G4" s="13"/>
    </row>
    <row r="5" ht="60.0" customHeight="1">
      <c r="A5" s="5" t="s">
        <v>34</v>
      </c>
      <c r="B5" s="5" t="s">
        <v>42</v>
      </c>
      <c r="C5" s="5" t="s">
        <v>45</v>
      </c>
      <c r="D5" s="5" t="s">
        <v>48</v>
      </c>
      <c r="E5" s="10" t="s">
        <v>23</v>
      </c>
      <c r="F5" s="11" t="s">
        <v>26</v>
      </c>
      <c r="G5" s="13"/>
    </row>
    <row r="6" ht="60.0" customHeight="1">
      <c r="A6" s="5" t="s">
        <v>34</v>
      </c>
      <c r="B6" s="5" t="s">
        <v>53</v>
      </c>
      <c r="C6" s="5" t="s">
        <v>55</v>
      </c>
      <c r="D6" s="5" t="s">
        <v>56</v>
      </c>
      <c r="E6" s="10" t="s">
        <v>23</v>
      </c>
      <c r="F6" s="11" t="s">
        <v>26</v>
      </c>
      <c r="G6" s="13"/>
    </row>
    <row r="7" ht="60.0" customHeight="1">
      <c r="A7" s="5" t="s">
        <v>63</v>
      </c>
      <c r="B7" s="5" t="s">
        <v>64</v>
      </c>
      <c r="C7" s="5" t="s">
        <v>65</v>
      </c>
      <c r="D7" s="5" t="s">
        <v>66</v>
      </c>
      <c r="E7" s="10" t="s">
        <v>23</v>
      </c>
      <c r="F7" s="11" t="s">
        <v>26</v>
      </c>
      <c r="G7" s="13"/>
    </row>
    <row r="8" ht="60.0" customHeight="1">
      <c r="A8" s="5" t="s">
        <v>63</v>
      </c>
      <c r="B8" s="5" t="s">
        <v>67</v>
      </c>
      <c r="C8" s="5" t="s">
        <v>68</v>
      </c>
      <c r="D8" s="5" t="s">
        <v>69</v>
      </c>
      <c r="E8" s="10" t="s">
        <v>23</v>
      </c>
      <c r="F8" s="11" t="s">
        <v>26</v>
      </c>
      <c r="G8" s="13"/>
    </row>
    <row r="9" ht="60.0" customHeight="1">
      <c r="A9" s="5" t="s">
        <v>63</v>
      </c>
      <c r="B9" s="5" t="s">
        <v>73</v>
      </c>
      <c r="C9" s="5" t="s">
        <v>74</v>
      </c>
      <c r="D9" s="5" t="s">
        <v>75</v>
      </c>
      <c r="E9" s="10" t="s">
        <v>23</v>
      </c>
      <c r="F9" s="11" t="s">
        <v>26</v>
      </c>
      <c r="G9" s="13"/>
    </row>
    <row r="10" ht="60.0" customHeight="1">
      <c r="A10" s="5" t="s">
        <v>63</v>
      </c>
      <c r="B10" s="5" t="s">
        <v>78</v>
      </c>
      <c r="C10" s="5" t="s">
        <v>80</v>
      </c>
      <c r="D10" s="5" t="s">
        <v>81</v>
      </c>
      <c r="E10" s="10" t="s">
        <v>23</v>
      </c>
      <c r="F10" s="11" t="s">
        <v>26</v>
      </c>
      <c r="G10" s="13"/>
    </row>
    <row r="11" ht="60.0" customHeight="1">
      <c r="A11" s="5" t="s">
        <v>63</v>
      </c>
      <c r="B11" s="5" t="s">
        <v>83</v>
      </c>
      <c r="C11" s="5" t="s">
        <v>84</v>
      </c>
      <c r="D11" s="5" t="s">
        <v>85</v>
      </c>
      <c r="E11" s="10" t="s">
        <v>23</v>
      </c>
      <c r="F11" s="11" t="s">
        <v>26</v>
      </c>
      <c r="G11" s="13"/>
    </row>
    <row r="12" ht="60.0" customHeight="1">
      <c r="A12" s="5" t="s">
        <v>63</v>
      </c>
      <c r="B12" s="5" t="s">
        <v>87</v>
      </c>
      <c r="C12" s="5" t="s">
        <v>89</v>
      </c>
      <c r="D12" s="5" t="s">
        <v>90</v>
      </c>
      <c r="E12" s="10" t="s">
        <v>23</v>
      </c>
      <c r="F12" s="11" t="s">
        <v>26</v>
      </c>
      <c r="G12" s="13"/>
    </row>
    <row r="13" ht="60.0" customHeight="1">
      <c r="A13" s="5" t="s">
        <v>63</v>
      </c>
      <c r="B13" s="5" t="s">
        <v>92</v>
      </c>
      <c r="C13" s="5" t="s">
        <v>93</v>
      </c>
      <c r="D13" s="5" t="s">
        <v>94</v>
      </c>
      <c r="E13" s="10" t="s">
        <v>23</v>
      </c>
      <c r="F13" s="11" t="s">
        <v>26</v>
      </c>
      <c r="G13" s="13"/>
    </row>
    <row r="14" ht="60.0" customHeight="1">
      <c r="A14" s="5" t="s">
        <v>63</v>
      </c>
      <c r="B14" s="5" t="s">
        <v>97</v>
      </c>
      <c r="C14" s="5" t="s">
        <v>99</v>
      </c>
      <c r="D14" s="5" t="s">
        <v>100</v>
      </c>
      <c r="E14" s="10" t="s">
        <v>23</v>
      </c>
      <c r="F14" s="11" t="s">
        <v>26</v>
      </c>
      <c r="G14" s="13"/>
    </row>
    <row r="15" ht="60.0" customHeight="1">
      <c r="A15" s="5" t="s">
        <v>101</v>
      </c>
      <c r="B15" s="5" t="s">
        <v>103</v>
      </c>
      <c r="C15" s="5" t="s">
        <v>104</v>
      </c>
      <c r="D15" s="5" t="s">
        <v>106</v>
      </c>
      <c r="E15" s="10" t="s">
        <v>23</v>
      </c>
      <c r="F15" s="11" t="s">
        <v>26</v>
      </c>
      <c r="G15" s="13"/>
    </row>
    <row r="16" ht="60.0" customHeight="1">
      <c r="A16" s="5" t="s">
        <v>101</v>
      </c>
      <c r="B16" s="5" t="s">
        <v>108</v>
      </c>
      <c r="C16" s="5" t="s">
        <v>109</v>
      </c>
      <c r="D16" s="5" t="s">
        <v>110</v>
      </c>
      <c r="E16" s="10" t="s">
        <v>23</v>
      </c>
      <c r="F16" s="11" t="s">
        <v>26</v>
      </c>
      <c r="G16" s="13"/>
    </row>
    <row r="17" ht="60.0" customHeight="1">
      <c r="A17" s="5" t="s">
        <v>101</v>
      </c>
      <c r="B17" s="5" t="s">
        <v>114</v>
      </c>
      <c r="C17" s="5" t="s">
        <v>116</v>
      </c>
      <c r="D17" s="5" t="s">
        <v>117</v>
      </c>
      <c r="E17" s="10" t="s">
        <v>23</v>
      </c>
      <c r="F17" s="11" t="s">
        <v>26</v>
      </c>
      <c r="G17" s="13"/>
    </row>
    <row r="18" ht="60.0" customHeight="1">
      <c r="A18" s="5" t="s">
        <v>101</v>
      </c>
      <c r="B18" s="5" t="s">
        <v>118</v>
      </c>
      <c r="C18" s="5" t="s">
        <v>120</v>
      </c>
      <c r="D18" s="5" t="s">
        <v>122</v>
      </c>
      <c r="E18" s="10" t="s">
        <v>23</v>
      </c>
      <c r="F18" s="11" t="s">
        <v>26</v>
      </c>
      <c r="G18" s="13"/>
    </row>
    <row r="19" ht="60.0" customHeight="1">
      <c r="A19" s="5" t="s">
        <v>124</v>
      </c>
      <c r="B19" s="5" t="s">
        <v>125</v>
      </c>
      <c r="C19" s="5" t="s">
        <v>126</v>
      </c>
      <c r="D19" s="5" t="s">
        <v>127</v>
      </c>
      <c r="E19" s="10" t="s">
        <v>23</v>
      </c>
      <c r="F19" s="11" t="s">
        <v>26</v>
      </c>
      <c r="G19" s="13"/>
    </row>
    <row r="20" ht="60.0" customHeight="1">
      <c r="A20" s="5" t="s">
        <v>124</v>
      </c>
      <c r="B20" s="5" t="s">
        <v>131</v>
      </c>
      <c r="C20" s="5" t="s">
        <v>132</v>
      </c>
      <c r="D20" s="5" t="s">
        <v>133</v>
      </c>
      <c r="E20" s="10" t="s">
        <v>23</v>
      </c>
      <c r="F20" s="11" t="s">
        <v>26</v>
      </c>
      <c r="G20" s="13"/>
    </row>
    <row r="21" ht="60.0" customHeight="1">
      <c r="A21" s="5" t="s">
        <v>124</v>
      </c>
      <c r="B21" s="5" t="s">
        <v>137</v>
      </c>
      <c r="C21" s="5" t="s">
        <v>139</v>
      </c>
      <c r="D21" s="5" t="s">
        <v>140</v>
      </c>
      <c r="E21" s="10" t="s">
        <v>23</v>
      </c>
      <c r="F21" s="11" t="s">
        <v>26</v>
      </c>
      <c r="G21" s="13"/>
    </row>
    <row r="22" ht="60.0" customHeight="1">
      <c r="A22" s="5" t="s">
        <v>124</v>
      </c>
      <c r="B22" s="5" t="s">
        <v>142</v>
      </c>
      <c r="C22" s="5" t="s">
        <v>144</v>
      </c>
      <c r="D22" s="5" t="s">
        <v>146</v>
      </c>
      <c r="E22" s="10" t="s">
        <v>23</v>
      </c>
      <c r="F22" s="11" t="s">
        <v>26</v>
      </c>
      <c r="G22" s="13"/>
    </row>
    <row r="23" ht="60.0" customHeight="1">
      <c r="A23" s="5" t="s">
        <v>147</v>
      </c>
      <c r="B23" s="5" t="s">
        <v>148</v>
      </c>
      <c r="C23" s="5" t="s">
        <v>149</v>
      </c>
      <c r="D23" s="5" t="s">
        <v>150</v>
      </c>
      <c r="E23" s="10" t="s">
        <v>23</v>
      </c>
      <c r="F23" s="11" t="s">
        <v>26</v>
      </c>
      <c r="G23" s="13"/>
    </row>
    <row r="24" ht="60.0" customHeight="1">
      <c r="A24" s="5" t="s">
        <v>147</v>
      </c>
      <c r="B24" s="5" t="s">
        <v>152</v>
      </c>
      <c r="C24" s="5" t="s">
        <v>154</v>
      </c>
      <c r="D24" s="5" t="s">
        <v>156</v>
      </c>
      <c r="E24" s="10" t="s">
        <v>23</v>
      </c>
      <c r="F24" s="11" t="s">
        <v>26</v>
      </c>
      <c r="G24" s="13"/>
    </row>
    <row r="25" ht="60.0" customHeight="1">
      <c r="A25" s="5" t="s">
        <v>147</v>
      </c>
      <c r="B25" s="5" t="s">
        <v>157</v>
      </c>
      <c r="C25" s="5" t="s">
        <v>158</v>
      </c>
      <c r="D25" s="5" t="s">
        <v>160</v>
      </c>
      <c r="E25" s="10" t="s">
        <v>23</v>
      </c>
      <c r="F25" s="11" t="s">
        <v>26</v>
      </c>
      <c r="G25" s="13"/>
    </row>
    <row r="26" ht="60.0" customHeight="1">
      <c r="A26" s="5" t="s">
        <v>147</v>
      </c>
      <c r="B26" s="5" t="s">
        <v>163</v>
      </c>
      <c r="C26" s="5" t="s">
        <v>164</v>
      </c>
      <c r="D26" s="5" t="s">
        <v>165</v>
      </c>
      <c r="E26" s="10" t="s">
        <v>23</v>
      </c>
      <c r="F26" s="11" t="s">
        <v>26</v>
      </c>
      <c r="G26" s="13"/>
    </row>
    <row r="27" ht="60.0" customHeight="1">
      <c r="A27" s="5" t="s">
        <v>147</v>
      </c>
      <c r="B27" s="5" t="s">
        <v>171</v>
      </c>
      <c r="C27" s="5" t="s">
        <v>172</v>
      </c>
      <c r="D27" s="5" t="s">
        <v>173</v>
      </c>
      <c r="E27" s="7" t="s">
        <v>22</v>
      </c>
      <c r="F27" s="11" t="s">
        <v>26</v>
      </c>
      <c r="G27" s="13"/>
    </row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2:G27">
    <cfRule type="expression" dxfId="0" priority="1">
      <formula>$F2="Done"</formula>
    </cfRule>
  </conditionalFormatting>
  <conditionalFormatting sqref="A2:G27">
    <cfRule type="expression" dxfId="1" priority="2">
      <formula>$F2="In Progress"</formula>
    </cfRule>
  </conditionalFormatting>
  <dataValidations>
    <dataValidation type="list" allowBlank="1" sqref="F2:F27">
      <formula1>"Not Started,In Progress,Done"</formula1>
    </dataValidation>
  </dataValidations>
  <printOptions/>
  <pageMargins bottom="0.5" footer="0.0" header="0.0" left="0.35" right="0.35" top="0.5"/>
  <pageSetup fitToHeight="0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2.0"/>
    <col customWidth="1" min="2" max="2" width="40.0"/>
    <col customWidth="1" min="3" max="3" width="48.0"/>
    <col customWidth="1" min="4" max="4" width="46.0"/>
    <col customWidth="1" min="5" max="5" width="10.0"/>
    <col customWidth="1" min="6" max="6" width="14.0"/>
    <col customWidth="1" min="7" max="7" width="22.0"/>
    <col customWidth="1" min="8" max="26" width="8.71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</row>
    <row r="2" ht="60.0" customHeight="1">
      <c r="A2" s="5" t="s">
        <v>9</v>
      </c>
      <c r="B2" s="5" t="s">
        <v>14</v>
      </c>
      <c r="C2" s="5" t="s">
        <v>16</v>
      </c>
      <c r="D2" s="5" t="s">
        <v>18</v>
      </c>
      <c r="E2" s="7" t="s">
        <v>22</v>
      </c>
      <c r="F2" s="11" t="s">
        <v>26</v>
      </c>
      <c r="G2" s="13"/>
    </row>
    <row r="3" ht="60.0" customHeight="1">
      <c r="A3" s="5" t="s">
        <v>9</v>
      </c>
      <c r="B3" s="5" t="s">
        <v>43</v>
      </c>
      <c r="C3" s="5" t="s">
        <v>44</v>
      </c>
      <c r="D3" s="5" t="s">
        <v>47</v>
      </c>
      <c r="E3" s="7" t="s">
        <v>22</v>
      </c>
      <c r="F3" s="11" t="s">
        <v>26</v>
      </c>
      <c r="G3" s="13"/>
    </row>
    <row r="4" ht="60.0" customHeight="1">
      <c r="A4" s="5" t="s">
        <v>9</v>
      </c>
      <c r="B4" s="5" t="s">
        <v>51</v>
      </c>
      <c r="C4" s="5" t="s">
        <v>52</v>
      </c>
      <c r="D4" s="5" t="s">
        <v>54</v>
      </c>
      <c r="E4" s="7" t="s">
        <v>22</v>
      </c>
      <c r="F4" s="11" t="s">
        <v>26</v>
      </c>
      <c r="G4" s="13"/>
    </row>
    <row r="5" ht="60.0" customHeight="1">
      <c r="A5" s="5" t="s">
        <v>9</v>
      </c>
      <c r="B5" s="5" t="s">
        <v>59</v>
      </c>
      <c r="C5" s="5" t="s">
        <v>61</v>
      </c>
      <c r="D5" s="5" t="s">
        <v>62</v>
      </c>
      <c r="E5" s="7" t="s">
        <v>22</v>
      </c>
      <c r="F5" s="11" t="s">
        <v>26</v>
      </c>
      <c r="G5" s="13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2:G5">
    <cfRule type="expression" dxfId="0" priority="1">
      <formula>$F2="Done"</formula>
    </cfRule>
  </conditionalFormatting>
  <conditionalFormatting sqref="A2:G5">
    <cfRule type="expression" dxfId="1" priority="2">
      <formula>$F2="In Progress"</formula>
    </cfRule>
  </conditionalFormatting>
  <dataValidations>
    <dataValidation type="list" allowBlank="1" sqref="F2:F5">
      <formula1>"Not Started,In Progress,Done"</formula1>
    </dataValidation>
  </dataValidations>
  <printOptions/>
  <pageMargins bottom="0.5" footer="0.0" header="0.0" left="0.35" right="0.35" top="0.5"/>
  <pageSetup fitToHeight="0"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2026-09-27T16:54:10Z</dcterms:created>
  <dc:creator>openpyxl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