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<sst xmlns="http://schemas.openxmlformats.org/spreadsheetml/2006/main" count="405" uniqueCount="206">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</sst>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19</v>
      </c>
      <c r="C5" s="16" t="s">
        <v>27</v>
      </c>
      <c r="D5" s="17">
        <f>COUNTIF('Interface Track'!F2:F27,"Done")</f>
        <v>0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0.7307692307692307</v>
      </c>
      <c r="C7" s="16" t="s">
        <v>186</v>
      </c>
      <c r="D7" s="19">
        <f>D5/D6</f>
        <v>0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19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0.3392857142857143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2</v>
      </c>
      <c r="C20" s="17">
        <f>COUNTIF('Kernel Track'!A2:A1000,"Month 5 - Driver breadth &amp; performance")</f>
        <v>5</v>
      </c>
      <c r="D20" s="24">
        <f t="shared" si="2"/>
        <v>0.4</v>
      </c>
    </row>
    <row r="21" ht="15.75" customHeight="1">
      <c r="A21" s="17" t="s">
        <v>187</v>
      </c>
      <c r="B21" s="17">
        <f>COUNTIFS('Kernel Track'!A2:A1000,"Month 6 - Release hardening",'Kernel Track'!F2:F1000,"Done")</f>
        <v>0</v>
      </c>
      <c r="C21" s="17">
        <f>COUNTIF('Kernel Track'!A2:A1000,"Month 6 - Release hardening")</f>
        <v>4</v>
      </c>
      <c r="D21" s="24">
        <f t="shared" si="2"/>
        <v>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0</v>
      </c>
      <c r="C25" s="17">
        <f>COUNTIF('Interface Track'!A2:A1000,"Month 1 - Prep")</f>
        <v>2</v>
      </c>
      <c r="D25" s="24">
        <f t="shared" ref="D25:D30" si="3">IFERROR(B25/C25,0)</f>
        <v>0</v>
      </c>
    </row>
    <row r="26" ht="15.75" customHeight="1">
      <c r="A26" s="17" t="s">
        <v>34</v>
      </c>
      <c r="B26" s="17">
        <f>COUNTIFS('Interface Track'!A2:A1000,"Month 2 - Compositor",'Interface Track'!F2:F1000,"Done")</f>
        <v>0</v>
      </c>
      <c r="C26" s="17">
        <f>COUNTIF('Interface Track'!A2:A1000,"Month 2 - Compositor")</f>
        <v>3</v>
      </c>
      <c r="D26" s="24">
        <f t="shared" si="3"/>
        <v>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0</v>
      </c>
      <c r="C27" s="17">
        <f>COUNTIF('Interface Track'!A2:A1000,"Month 3 - Core desktop apps")</f>
        <v>8</v>
      </c>
      <c r="D27" s="24">
        <f t="shared" si="3"/>
        <v>0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9" t="s">
        <v>20</v>
      </c>
      <c r="F21" s="11" t="s">
        <v>26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1" t="s">
        <v>26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1" t="s">
        <v>26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1" t="s">
        <v>26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1" t="s">
        <v>26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1" t="s">
        <v>26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1" t="s">
        <v>26</v>
      </c>
      <c r="G2" s="13"/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1" t="s">
        <v>26</v>
      </c>
      <c r="G3" s="13"/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1" t="s">
        <v>26</v>
      </c>
      <c r="G4" s="13"/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1" t="s">
        <v>26</v>
      </c>
      <c r="G5" s="13"/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1" t="s">
        <v>26</v>
      </c>
      <c r="G6" s="13"/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26</v>
      </c>
      <c r="G7" s="13"/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26</v>
      </c>
      <c r="G8" s="13"/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1" t="s">
        <v>26</v>
      </c>
      <c r="G9" s="13"/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1" t="s">
        <v>26</v>
      </c>
      <c r="G10" s="13"/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